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search Work\project\Dataset\"/>
    </mc:Choice>
  </mc:AlternateContent>
  <xr:revisionPtr revIDLastSave="0" documentId="13_ncr:1_{1AB7D71F-86F8-44B0-9AFB-8A001D1D753B}" xr6:coauthVersionLast="47" xr6:coauthVersionMax="47" xr10:uidLastSave="{00000000-0000-0000-0000-000000000000}"/>
  <bookViews>
    <workbookView xWindow="-120" yWindow="-120" windowWidth="20730" windowHeight="11160" activeTab="1" xr2:uid="{434B17A3-C1DA-470A-A0E1-25D6AF3390D4}"/>
  </bookViews>
  <sheets>
    <sheet name="Sheet4" sheetId="5" r:id="rId1"/>
    <sheet name="Type_1" sheetId="1" r:id="rId2"/>
  </sheet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D428" i="1" l="1"/>
  <c r="B428" i="1"/>
  <c r="C426" i="1"/>
  <c r="D426" i="1"/>
  <c r="E426" i="1"/>
  <c r="F426" i="1"/>
  <c r="G426" i="1"/>
  <c r="I426" i="1"/>
  <c r="J426" i="1"/>
  <c r="K426" i="1"/>
  <c r="L426" i="1"/>
  <c r="M426" i="1"/>
  <c r="C425" i="1"/>
  <c r="D425" i="1"/>
  <c r="E425" i="1"/>
  <c r="F425" i="1"/>
  <c r="G425" i="1"/>
  <c r="I425" i="1"/>
  <c r="J425" i="1"/>
  <c r="K425" i="1"/>
  <c r="L425" i="1"/>
  <c r="M425" i="1"/>
  <c r="B426" i="1"/>
  <c r="B425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2" i="1"/>
  <c r="H425" i="1" l="1"/>
  <c r="H426" i="1"/>
</calcChain>
</file>

<file path=xl/sharedStrings.xml><?xml version="1.0" encoding="utf-8"?>
<sst xmlns="http://schemas.openxmlformats.org/spreadsheetml/2006/main" count="460" uniqueCount="448">
  <si>
    <t>TCGA-A6-6137-01</t>
  </si>
  <si>
    <t>TCGA-CK-4952-01</t>
  </si>
  <si>
    <t>TCGA-AD-6963-01</t>
  </si>
  <si>
    <t>TCGA-AA-3712-11</t>
  </si>
  <si>
    <t>TCGA-D5-6928-01</t>
  </si>
  <si>
    <t>TCGA-AZ-4313-01</t>
  </si>
  <si>
    <t>TCGA-AA-3509-01</t>
  </si>
  <si>
    <t>TCGA-DM-A28E-01</t>
  </si>
  <si>
    <t>TCGA-A6-2682-01</t>
  </si>
  <si>
    <t>TCGA-CM-5868-01</t>
  </si>
  <si>
    <t>TCGA-CM-5860-01</t>
  </si>
  <si>
    <t>TCGA-DM-A28G-01</t>
  </si>
  <si>
    <t>TCGA-A6-5666-01</t>
  </si>
  <si>
    <t>TCGA-A6-2675-11</t>
  </si>
  <si>
    <t>TCGA-AZ-6605-01</t>
  </si>
  <si>
    <t>TCGA-CM-5862-01</t>
  </si>
  <si>
    <t>TCGA-AA-A01Z-01</t>
  </si>
  <si>
    <t>TCGA-A6-A566-01</t>
  </si>
  <si>
    <t>TCGA-A6-5662-11</t>
  </si>
  <si>
    <t>TCGA-QG-A5Z1-01</t>
  </si>
  <si>
    <t>TCGA-AZ-6605-11</t>
  </si>
  <si>
    <t>TCGA-CK-4951-01</t>
  </si>
  <si>
    <t>TCGA-CM-6680-01</t>
  </si>
  <si>
    <t>TCGA-CM-6172-01</t>
  </si>
  <si>
    <t>TCGA-G4-6309-01</t>
  </si>
  <si>
    <t>TCGA-AD-A5EK-01</t>
  </si>
  <si>
    <t>TCGA-AM-5820-01</t>
  </si>
  <si>
    <t>TCGA-A6-2682-11</t>
  </si>
  <si>
    <t>TCGA-A6-6648-01</t>
  </si>
  <si>
    <t>TCGA-AU-6004-01</t>
  </si>
  <si>
    <t>TCGA-A6-2684-01</t>
  </si>
  <si>
    <t>TCGA-AZ-6599-11</t>
  </si>
  <si>
    <t>TCGA-DM-A1HB-01</t>
  </si>
  <si>
    <t>TCGA-A6-2685-01</t>
  </si>
  <si>
    <t>TCGA-F4-6704-11</t>
  </si>
  <si>
    <t>TCGA-G4-6294-01</t>
  </si>
  <si>
    <t>TCGA-WS-AB45-01</t>
  </si>
  <si>
    <t>TCGA-NH-A50V-01</t>
  </si>
  <si>
    <t>TCGA-F4-6460-01</t>
  </si>
  <si>
    <t>TCGA-QG-A5YW-01</t>
  </si>
  <si>
    <t>TCGA-DM-A280-01</t>
  </si>
  <si>
    <t>TCGA-G4-6297-01</t>
  </si>
  <si>
    <t>TCGA-CA-6716-01</t>
  </si>
  <si>
    <t>TCGA-CA-6715-01</t>
  </si>
  <si>
    <t>TCGA-A6-5664-01</t>
  </si>
  <si>
    <t>TCGA-CM-6167-01</t>
  </si>
  <si>
    <t>TCGA-AA-3534-11</t>
  </si>
  <si>
    <t>TCGA-CM-6676-01</t>
  </si>
  <si>
    <t>TCGA-A6-6650-01</t>
  </si>
  <si>
    <t>TCGA-NH-A6GB-01</t>
  </si>
  <si>
    <t>TCGA-A6-6652-01</t>
  </si>
  <si>
    <t>TCGA-D5-6536-01</t>
  </si>
  <si>
    <t>TCGA-G4-6588-01</t>
  </si>
  <si>
    <t>TCGA-F4-6459-01</t>
  </si>
  <si>
    <t>TCGA-D5-5538-01</t>
  </si>
  <si>
    <t>TCGA-AA-3506-01</t>
  </si>
  <si>
    <t>TCGA-CM-6166-01</t>
  </si>
  <si>
    <t>TCGA-CM-6171-01</t>
  </si>
  <si>
    <t>TCGA-CM-5863-01</t>
  </si>
  <si>
    <t>TCGA-D5-6539-01</t>
  </si>
  <si>
    <t>TCGA-F4-6808-01</t>
  </si>
  <si>
    <t>TCGA-A6-2680-11</t>
  </si>
  <si>
    <t>TCGA-DM-A285-01</t>
  </si>
  <si>
    <t>TCGA-AA-3522-11</t>
  </si>
  <si>
    <t>TCGA-A6-6781-01</t>
  </si>
  <si>
    <t>TCGA-AY-A54L-01</t>
  </si>
  <si>
    <t>TCGA-A6-5661-01</t>
  </si>
  <si>
    <t>TCGA-QG-A5YX-01</t>
  </si>
  <si>
    <t>TCGA-A6-2679-11</t>
  </si>
  <si>
    <t>TCGA-AD-A5EJ-01</t>
  </si>
  <si>
    <t>TCGA-DM-A28M-01</t>
  </si>
  <si>
    <t>TCGA-CK-6751-01</t>
  </si>
  <si>
    <t>TCGA-A6-2683-11</t>
  </si>
  <si>
    <t>TCGA-A6-6142-01</t>
  </si>
  <si>
    <t>TCGA-NH-A8F8-01</t>
  </si>
  <si>
    <t>TCGA-D5-5537-01</t>
  </si>
  <si>
    <t>TCGA-AD-6888-01</t>
  </si>
  <si>
    <t>TCGA-DM-A28C-01</t>
  </si>
  <si>
    <t>TCGA-F4-6569-01</t>
  </si>
  <si>
    <t>TCGA-CM-6674-01</t>
  </si>
  <si>
    <t>TCGA-DM-A1D9-01</t>
  </si>
  <si>
    <t>TCGA-D5-6533-01</t>
  </si>
  <si>
    <t>TCGA-D5-5539-01</t>
  </si>
  <si>
    <t>TCGA-CK-5912-01</t>
  </si>
  <si>
    <t>TCGA-A6-6140-01</t>
  </si>
  <si>
    <t>TCGA-NH-A6GC-01</t>
  </si>
  <si>
    <t>TCGA-AZ-5407-01</t>
  </si>
  <si>
    <t>TCGA-D5-6923-01</t>
  </si>
  <si>
    <t>TCGA-DM-A1D7-01</t>
  </si>
  <si>
    <t>TCGA-A6-5659-11</t>
  </si>
  <si>
    <t>TCGA-AY-A71X-01</t>
  </si>
  <si>
    <t>TCGA-CM-5349-01</t>
  </si>
  <si>
    <t>TCGA-A6-2686-11</t>
  </si>
  <si>
    <t>TCGA-AZ-4682-01</t>
  </si>
  <si>
    <t>TCGA-NH-A50T-01</t>
  </si>
  <si>
    <t>TCGA-AY-6386-01</t>
  </si>
  <si>
    <t>TCGA-CA-5255-01</t>
  </si>
  <si>
    <t>TCGA-AD-6899-01</t>
  </si>
  <si>
    <t>TCGA-AY-6197-01</t>
  </si>
  <si>
    <t>TCGA-A6-5660-01</t>
  </si>
  <si>
    <t>TCGA-CM-4747-01</t>
  </si>
  <si>
    <t>TCGA-DM-A28H-01</t>
  </si>
  <si>
    <t>TCGA-G4-6303-01</t>
  </si>
  <si>
    <t>TCGA-NH-A50U-01</t>
  </si>
  <si>
    <t>TCGA-AZ-6607-01</t>
  </si>
  <si>
    <t>TCGA-CM-6679-01</t>
  </si>
  <si>
    <t>TCGA-G4-6322-01</t>
  </si>
  <si>
    <t>TCGA-CM-5864-01</t>
  </si>
  <si>
    <t>TCGA-CK-6747-01</t>
  </si>
  <si>
    <t>TCGA-CM-5348-01</t>
  </si>
  <si>
    <t>TCGA-AZ-6606-01</t>
  </si>
  <si>
    <t>TCGA-RU-A8FL-01</t>
  </si>
  <si>
    <t>TCGA-CM-6678-01</t>
  </si>
  <si>
    <t>TCGA-AA-3517-11</t>
  </si>
  <si>
    <t>TCGA-AA-3675-01</t>
  </si>
  <si>
    <t>TCGA-F4-6855-01</t>
  </si>
  <si>
    <t>TCGA-A6-5662-01</t>
  </si>
  <si>
    <t>TCGA-DM-A1D6-01</t>
  </si>
  <si>
    <t>TCGA-D5-6898-01</t>
  </si>
  <si>
    <t>TCGA-D5-6532-01</t>
  </si>
  <si>
    <t>TCGA-DM-A1D0-01</t>
  </si>
  <si>
    <t>TCGA-F4-6704-01</t>
  </si>
  <si>
    <t>TCGA-D5-7000-01</t>
  </si>
  <si>
    <t>TCGA-AZ-4684-01</t>
  </si>
  <si>
    <t>TCGA-CM-6165-01</t>
  </si>
  <si>
    <t>TCGA-AZ-5403-01</t>
  </si>
  <si>
    <t>TCGA-AY-A8YK-01</t>
  </si>
  <si>
    <t>TCGA-A6-6653-01</t>
  </si>
  <si>
    <t>TCGA-A6-5667-01</t>
  </si>
  <si>
    <t>TCGA-G4-6293-01</t>
  </si>
  <si>
    <t>TCGA-AA-3712-01</t>
  </si>
  <si>
    <t>TCGA-CK-6748-01</t>
  </si>
  <si>
    <t>TCGA-CM-6170-01</t>
  </si>
  <si>
    <t>TCGA-AU-3779-01</t>
  </si>
  <si>
    <t>TCGA-G4-6315-01</t>
  </si>
  <si>
    <t>TCGA-G4-6310-01</t>
  </si>
  <si>
    <t>TCGA-5M-AATA-01</t>
  </si>
  <si>
    <t>TCGA-A6-5659-01</t>
  </si>
  <si>
    <t>TCGA-D5-6537-01</t>
  </si>
  <si>
    <t>TCGA-AA-3663-01</t>
  </si>
  <si>
    <t>TCGA-A6-2675-01</t>
  </si>
  <si>
    <t>TCGA-DM-A28K-01</t>
  </si>
  <si>
    <t>TCGA-D5-6926-01</t>
  </si>
  <si>
    <t>TCGA-AZ-6608-01</t>
  </si>
  <si>
    <t>TCGA-5M-AATE-01</t>
  </si>
  <si>
    <t>TCGA-CK-5915-01</t>
  </si>
  <si>
    <t>TCGA-F4-6463-01</t>
  </si>
  <si>
    <t>TCGA-4T-AA8H-01</t>
  </si>
  <si>
    <t>TCGA-CM-6162-01</t>
  </si>
  <si>
    <t>TCGA-DM-A1D4-01</t>
  </si>
  <si>
    <t>TCGA-QG-A5YV-01</t>
  </si>
  <si>
    <t>TCGA-CA-5796-01</t>
  </si>
  <si>
    <t>TCGA-DC-6160-01</t>
  </si>
  <si>
    <t>TCGA-EI-6512-01</t>
  </si>
  <si>
    <t>TCGA-DC-5869-01</t>
  </si>
  <si>
    <t>TCGA-EI-7004-01</t>
  </si>
  <si>
    <t>TCGA-G5-6572-01</t>
  </si>
  <si>
    <t>TCGA-EF-5830-01</t>
  </si>
  <si>
    <t>TCGA-CI-6624-01</t>
  </si>
  <si>
    <t>TCGA-EF-5831-01</t>
  </si>
  <si>
    <t>TCGA-DT-5265-01</t>
  </si>
  <si>
    <t>TCGA-F5-6811-01</t>
  </si>
  <si>
    <t>TCGA-AH-6903-01</t>
  </si>
  <si>
    <t>TCGA-EI-7002-01</t>
  </si>
  <si>
    <t>TCGA-F5-6864-01</t>
  </si>
  <si>
    <t>TCGA-EI-6881-01</t>
  </si>
  <si>
    <t>TCGA-DC-5337-01</t>
  </si>
  <si>
    <t>TCGA-G5-6572-02</t>
  </si>
  <si>
    <t>TCGA-DC-6681-01</t>
  </si>
  <si>
    <t>TCGA-AH-6897-01</t>
  </si>
  <si>
    <t>TCGA-EI-6508-01</t>
  </si>
  <si>
    <t>TCGA-DY-A1H8-01</t>
  </si>
  <si>
    <t>TCGA-AF-2693-01</t>
  </si>
  <si>
    <t>TCGA-CI-6622-01</t>
  </si>
  <si>
    <t>TCGA-AF-5654-01</t>
  </si>
  <si>
    <t>TCGA-AG-3725-11</t>
  </si>
  <si>
    <t>TCGA-AG-4021-01</t>
  </si>
  <si>
    <t>TCGA-CL-5917-01</t>
  </si>
  <si>
    <t>TCGA-AF-6136-01</t>
  </si>
  <si>
    <t>TCGA-AG-3742-01</t>
  </si>
  <si>
    <t>TCGA-F5-6702-01</t>
  </si>
  <si>
    <t>TCGA-CI-6623-01</t>
  </si>
  <si>
    <t>TCGA-AF-A56N-01</t>
  </si>
  <si>
    <t>TCGA-G5-6641-01</t>
  </si>
  <si>
    <t>TCGA-AH-6549-01</t>
  </si>
  <si>
    <t>TCGA-EI-6510-01</t>
  </si>
  <si>
    <t>TCGA-AF-6655-01</t>
  </si>
  <si>
    <t>TCGA-DY-A1DG-01</t>
  </si>
  <si>
    <t>TCGA-DC-6158-01</t>
  </si>
  <si>
    <t>TCGA-CL-4957-01</t>
  </si>
  <si>
    <t>TCGA-CL-5918-01</t>
  </si>
  <si>
    <t>TCGA-DC-4749-01</t>
  </si>
  <si>
    <t>TCGA-DC-6683-01</t>
  </si>
  <si>
    <t>TCGA-DC-4745-01</t>
  </si>
  <si>
    <t>TCGA-CI-6619-01</t>
  </si>
  <si>
    <t>TCGA-EI-6885-01</t>
  </si>
  <si>
    <t>TCGA-G5-6233-01</t>
  </si>
  <si>
    <t>TCGA-AG-3732-11</t>
  </si>
  <si>
    <t>TCGA-DC-6157-01</t>
  </si>
  <si>
    <t>TCGA-AF-4110-01</t>
  </si>
  <si>
    <t>TCGA-EI-6514-01</t>
  </si>
  <si>
    <t>TCGA-F5-6863-01</t>
  </si>
  <si>
    <t>TCGA-F5-6810-01</t>
  </si>
  <si>
    <t>TCGA-AG-3591-01</t>
  </si>
  <si>
    <t>TCGA-AG-4022-01</t>
  </si>
  <si>
    <t>TCGA-AG-3725-01</t>
  </si>
  <si>
    <t>TCGA-EI-6506-01</t>
  </si>
  <si>
    <t>TCGA-AF-2692-11</t>
  </si>
  <si>
    <t>TCGA-DC-6154-01</t>
  </si>
  <si>
    <t>TCGA-AG-3592-01</t>
  </si>
  <si>
    <t>Mixture</t>
  </si>
  <si>
    <t>NK cells resting</t>
  </si>
  <si>
    <t>B cells naive</t>
  </si>
  <si>
    <t>T cells CD8</t>
  </si>
  <si>
    <t>Dendritic cells activated</t>
  </si>
  <si>
    <t>T cells CD4 memory resting</t>
  </si>
  <si>
    <t>T cells follicular helper</t>
  </si>
  <si>
    <t>Macrophages M0</t>
  </si>
  <si>
    <t>Monocytes</t>
  </si>
  <si>
    <t>Dendritic cells resting</t>
  </si>
  <si>
    <t>NK cells activated</t>
  </si>
  <si>
    <t>Neutrophils</t>
  </si>
  <si>
    <t>Standard Deviation</t>
  </si>
  <si>
    <t>Circulating  cell total</t>
  </si>
  <si>
    <t xml:space="preserve">Total lymphocyte count=7.2*10^8;   Total immune cell count=(7.2*10^8)*(100/40)=1.8e9;  </t>
  </si>
  <si>
    <t>TCGA-A6-A567-01</t>
  </si>
  <si>
    <t>TCGA-G4-6295-01</t>
  </si>
  <si>
    <t>TCGA-A6-5667-11</t>
  </si>
  <si>
    <t>TCGA-G4-6307-01</t>
  </si>
  <si>
    <t>TCGA-CK-4947-01</t>
  </si>
  <si>
    <t>TCGA-D5-5540-01</t>
  </si>
  <si>
    <t>TCGA-A6-4105-01</t>
  </si>
  <si>
    <t>TCGA-A6-6651-01</t>
  </si>
  <si>
    <t>TCGA-G4-6625-01</t>
  </si>
  <si>
    <t>TCGA-AA-3516-11</t>
  </si>
  <si>
    <t>TCGA-CA-5797-01</t>
  </si>
  <si>
    <t>TCGA-D5-6930-01</t>
  </si>
  <si>
    <t>TCGA-5M-AAT4-01</t>
  </si>
  <si>
    <t>TCGA-AA-3685-01</t>
  </si>
  <si>
    <t>TCGA-D5-6924-01</t>
  </si>
  <si>
    <t>TCGA-CA-6718-01</t>
  </si>
  <si>
    <t>TCGA-AZ-6603-01</t>
  </si>
  <si>
    <t>TCGA-AZ-6598-11</t>
  </si>
  <si>
    <t>TCGA-DM-A0X9-01</t>
  </si>
  <si>
    <t>TCGA-D5-6534-01</t>
  </si>
  <si>
    <t>TCGA-CK-6746-01</t>
  </si>
  <si>
    <t>TCGA-A6-5656-01</t>
  </si>
  <si>
    <t>TCGA-5M-AAT6-01</t>
  </si>
  <si>
    <t>TCGA-CK-5913-01</t>
  </si>
  <si>
    <t>TCGA-F4-6461-01</t>
  </si>
  <si>
    <t>TCGA-G4-6299-01</t>
  </si>
  <si>
    <t>TCGA-CM-6168-01</t>
  </si>
  <si>
    <t>TCGA-CA-6717-01</t>
  </si>
  <si>
    <t>TCGA-F4-6856-01</t>
  </si>
  <si>
    <t>TCGA-AA-3492-01</t>
  </si>
  <si>
    <t>TCGA-CK-5916-01</t>
  </si>
  <si>
    <t>TCGA-NH-A6GA-01</t>
  </si>
  <si>
    <t>TCGA-F4-6806-01</t>
  </si>
  <si>
    <t>TCGA-G4-6304-01</t>
  </si>
  <si>
    <t>TCGA-AD-6965-01</t>
  </si>
  <si>
    <t>TCGA-D5-6920-01</t>
  </si>
  <si>
    <t>TCGA-G4-6302-01</t>
  </si>
  <si>
    <t>TCGA-QL-A97D-01</t>
  </si>
  <si>
    <t>TCGA-AA-3518-11</t>
  </si>
  <si>
    <t>TCGA-AA-3531-11</t>
  </si>
  <si>
    <t>TCGA-CM-4743-01</t>
  </si>
  <si>
    <t>TCGA-A6-6654-01</t>
  </si>
  <si>
    <t>TCGA-5M-AAT5-01</t>
  </si>
  <si>
    <t>TCGA-G4-6627-01</t>
  </si>
  <si>
    <t>TCGA-AD-6548-01</t>
  </si>
  <si>
    <t>TCGA-F4-6805-01</t>
  </si>
  <si>
    <t>TCGA-A6-6780-01</t>
  </si>
  <si>
    <t>TCGA-DM-A1HA-01</t>
  </si>
  <si>
    <t>TCGA-AA-3713-11</t>
  </si>
  <si>
    <t>TCGA-CM-6164-01</t>
  </si>
  <si>
    <t>TCGA-4N-A93T-01</t>
  </si>
  <si>
    <t>TCGA-A6-2684-11</t>
  </si>
  <si>
    <t>TCGA-T9-A92H-01</t>
  </si>
  <si>
    <t>TCGA-CK-4948-01</t>
  </si>
  <si>
    <t>TCGA-CK-5914-01</t>
  </si>
  <si>
    <t>TCGA-AY-6196-01</t>
  </si>
  <si>
    <t>TCGA-F4-6809-01</t>
  </si>
  <si>
    <t>TCGA-A6-5665-11</t>
  </si>
  <si>
    <t>TCGA-NH-A8F7-01</t>
  </si>
  <si>
    <t>TCGA-D5-5541-01</t>
  </si>
  <si>
    <t>TCGA-AA-3511-11</t>
  </si>
  <si>
    <t>TCGA-G4-6314-01</t>
  </si>
  <si>
    <t>TCGA-F4-6807-01</t>
  </si>
  <si>
    <t>TCGA-DM-A288-01</t>
  </si>
  <si>
    <t>TCGA-G4-6628-01</t>
  </si>
  <si>
    <t>TCGA-D5-6531-01</t>
  </si>
  <si>
    <t>TCGA-F4-6854-01</t>
  </si>
  <si>
    <t>TCGA-AM-5821-01</t>
  </si>
  <si>
    <t>TCGA-CM-6677-01</t>
  </si>
  <si>
    <t>TCGA-AZ-4615-01</t>
  </si>
  <si>
    <t>TCGA-AA-3662-01</t>
  </si>
  <si>
    <t>TCGA-NH-A8F7-06</t>
  </si>
  <si>
    <t>TCGA-DM-A1DA-01</t>
  </si>
  <si>
    <t>TCGA-AA-3660-11</t>
  </si>
  <si>
    <t>TCGA-CK-4950-01</t>
  </si>
  <si>
    <t>TCGA-CA-6719-01</t>
  </si>
  <si>
    <t>TCGA-CM-6675-01</t>
  </si>
  <si>
    <t>TCGA-A6-6782-01</t>
  </si>
  <si>
    <t>TCGA-CM-4751-01</t>
  </si>
  <si>
    <t>TCGA-AZ-4614-01</t>
  </si>
  <si>
    <t>TCGA-AA-3495-01</t>
  </si>
  <si>
    <t>TCGA-CM-4744-01</t>
  </si>
  <si>
    <t>TCGA-AD-6895-01</t>
  </si>
  <si>
    <t>TCGA-AD-6889-01</t>
  </si>
  <si>
    <t>TCGA-AD-5900-01</t>
  </si>
  <si>
    <t>TCGA-D5-6540-01</t>
  </si>
  <si>
    <t>TCGA-A6-2685-11</t>
  </si>
  <si>
    <t>TCGA-G4-6311-01</t>
  </si>
  <si>
    <t>TCGA-AZ-6600-11</t>
  </si>
  <si>
    <t>TCGA-AA-3655-11</t>
  </si>
  <si>
    <t>TCGA-CA-5254-01</t>
  </si>
  <si>
    <t>TCGA-CM-5344-01</t>
  </si>
  <si>
    <t>TCGA-AA-3662-11</t>
  </si>
  <si>
    <t>TCGA-DM-A1DB-01</t>
  </si>
  <si>
    <t>TCGA-DM-A28F-01</t>
  </si>
  <si>
    <t>TCGA-AA-A02Y-01</t>
  </si>
  <si>
    <t>TCGA-D5-6932-01</t>
  </si>
  <si>
    <t>TCGA-AA-3660-01</t>
  </si>
  <si>
    <t>TCGA-D5-6541-01</t>
  </si>
  <si>
    <t>TCGA-AA-3511-01</t>
  </si>
  <si>
    <t>TCGA-CM-5861-01</t>
  </si>
  <si>
    <t>TCGA-AA-3525-11</t>
  </si>
  <si>
    <t>TCGA-CM-6161-01</t>
  </si>
  <si>
    <t>TCGA-G4-6298-01</t>
  </si>
  <si>
    <t>TCGA-D5-6538-01</t>
  </si>
  <si>
    <t>TCGA-AZ-4323-01</t>
  </si>
  <si>
    <t>TCGA-CM-6163-01</t>
  </si>
  <si>
    <t>TCGA-AA-3713-01</t>
  </si>
  <si>
    <t>TCGA-A6-A56B-01</t>
  </si>
  <si>
    <t>TCGA-AY-5543-01</t>
  </si>
  <si>
    <t>TCGA-CM-6169-01</t>
  </si>
  <si>
    <t>TCGA-A6-6649-01</t>
  </si>
  <si>
    <t>TCGA-A6-5665-01</t>
  </si>
  <si>
    <t>TCGA-DM-A0XF-01</t>
  </si>
  <si>
    <t>TCGA-AA-3496-11</t>
  </si>
  <si>
    <t>TCGA-QG-A5Z2-01</t>
  </si>
  <si>
    <t>TCGA-AA-3489-01</t>
  </si>
  <si>
    <t>TCGA-AY-A69D-01</t>
  </si>
  <si>
    <t>TCGA-D5-6530-01</t>
  </si>
  <si>
    <t>TCGA-DM-A28A-01</t>
  </si>
  <si>
    <t>TCGA-F4-6703-01</t>
  </si>
  <si>
    <t>TCGA-D5-6929-01</t>
  </si>
  <si>
    <t>TCGA-AZ-6601-01</t>
  </si>
  <si>
    <t>TCGA-G4-6317-02</t>
  </si>
  <si>
    <t>TCGA-AA-3697-11</t>
  </si>
  <si>
    <t>TCGA-AZ-6603-11</t>
  </si>
  <si>
    <t>TCGA-G4-6586-01</t>
  </si>
  <si>
    <t>TCGA-AA-A01P-01</t>
  </si>
  <si>
    <t>TCGA-AA-3502-01</t>
  </si>
  <si>
    <t>TCGA-AA-3697-01</t>
  </si>
  <si>
    <t>TCGA-AD-6890-01</t>
  </si>
  <si>
    <t>TCGA-AZ-4315-01</t>
  </si>
  <si>
    <t>TCGA-AZ-4616-01</t>
  </si>
  <si>
    <t>TCGA-AA-A02K-01</t>
  </si>
  <si>
    <t>TCGA-G4-6323-01</t>
  </si>
  <si>
    <t>TCGA-F4-6857-01</t>
  </si>
  <si>
    <t>TCGA-DM-A282-01</t>
  </si>
  <si>
    <t>TCGA-DM-A1D8-01</t>
  </si>
  <si>
    <t>TCGA-NH-A5IV-01</t>
  </si>
  <si>
    <t>TCGA-AZ-6601-11</t>
  </si>
  <si>
    <t>TCGA-AD-6901-01</t>
  </si>
  <si>
    <t>TCGA-A6-6141-01</t>
  </si>
  <si>
    <t>TCGA-3L-AA1B-01</t>
  </si>
  <si>
    <t>TCGA-AA-3496-01</t>
  </si>
  <si>
    <t>TCGA-A6-2678-11</t>
  </si>
  <si>
    <t>TCGA-D5-6529-01</t>
  </si>
  <si>
    <t>TCGA-AA-3514-11</t>
  </si>
  <si>
    <t>TCGA-D5-6927-01</t>
  </si>
  <si>
    <t>TCGA-AA-3520-11</t>
  </si>
  <si>
    <t>TCGA-A6-A565-01</t>
  </si>
  <si>
    <t>TCGA-G4-6306-01</t>
  </si>
  <si>
    <t>TCGA-G4-6320-01</t>
  </si>
  <si>
    <t>TCGA-A6-2671-11</t>
  </si>
  <si>
    <t>TCGA-AZ-6600-01</t>
  </si>
  <si>
    <t>TCGA-AD-6964-01</t>
  </si>
  <si>
    <t>TCGA-A6-2686-01</t>
  </si>
  <si>
    <t>TCGA-D5-6922-01</t>
  </si>
  <si>
    <t>TCGA-G4-6321-01</t>
  </si>
  <si>
    <t>TCGA-A6-A5ZU-01</t>
  </si>
  <si>
    <t>TCGA-AA-3526-01</t>
  </si>
  <si>
    <t>TCGA-AA-3527-11</t>
  </si>
  <si>
    <t>TCGA-F4-6570-01</t>
  </si>
  <si>
    <t>TCGA-G4-6317-01</t>
  </si>
  <si>
    <t>TCGA-SS-A7HO-01</t>
  </si>
  <si>
    <t>TCGA-AA-3489-11</t>
  </si>
  <si>
    <t>TCGA-G4-6626-01</t>
  </si>
  <si>
    <t>TCGA-DC-6156-01</t>
  </si>
  <si>
    <t>TCGA-EI-6507-01</t>
  </si>
  <si>
    <t>TCGA-AF-3911-01</t>
  </si>
  <si>
    <t>TCGA-F5-6812-01</t>
  </si>
  <si>
    <t>TCGA-AG-3902-01</t>
  </si>
  <si>
    <t>TCGA-AG-3731-01</t>
  </si>
  <si>
    <t>TCGA-AF-A56L-01</t>
  </si>
  <si>
    <t>TCGA-F5-6465-01</t>
  </si>
  <si>
    <t>TCGA-AH-6547-01</t>
  </si>
  <si>
    <t>TCGA-F5-6571-01</t>
  </si>
  <si>
    <t>TCGA-DC-6682-01</t>
  </si>
  <si>
    <t>TCGA-AF-6672-01</t>
  </si>
  <si>
    <t>TCGA-BM-6198-01</t>
  </si>
  <si>
    <t>TCGA-G5-6235-01</t>
  </si>
  <si>
    <t>TCGA-EI-6511-01</t>
  </si>
  <si>
    <t>TCGA-F5-6464-01</t>
  </si>
  <si>
    <t>TCGA-EI-6509-01</t>
  </si>
  <si>
    <t>TCGA-AH-6544-01</t>
  </si>
  <si>
    <t>TCGA-AF-5654-11</t>
  </si>
  <si>
    <t>TCGA-EI-6882-01</t>
  </si>
  <si>
    <t>TCGA-AH-6643-11</t>
  </si>
  <si>
    <t>TCGA-DY-A1DC-01</t>
  </si>
  <si>
    <t>TCGA-EI-6884-01</t>
  </si>
  <si>
    <t>TCGA-DC-6155-01</t>
  </si>
  <si>
    <t>TCGA-F5-6814-01</t>
  </si>
  <si>
    <t>TCGA-AF-2690-01</t>
  </si>
  <si>
    <t>TCGA-F5-6861-01</t>
  </si>
  <si>
    <t>TCGA-AH-6644-01</t>
  </si>
  <si>
    <t>TCGA-CI-6621-01</t>
  </si>
  <si>
    <t>TCGA-AG-3742-11</t>
  </si>
  <si>
    <t>TCGA-DY-A1DE-01</t>
  </si>
  <si>
    <t>TCGA-AG-3731-11</t>
  </si>
  <si>
    <t>TCGA-DY-A1DF-01</t>
  </si>
  <si>
    <t>TCGA-F5-6813-01</t>
  </si>
  <si>
    <t>TCGA-EI-6513-01</t>
  </si>
  <si>
    <t>TCGA-AF-2689-11</t>
  </si>
  <si>
    <t>TCGA-AF-2687-01</t>
  </si>
  <si>
    <t>TCGA-DY-A1DD-01</t>
  </si>
  <si>
    <t>TCGA-EI-6917-01</t>
  </si>
  <si>
    <t>TCGA-AF-2691-11</t>
  </si>
  <si>
    <t>TCGA-EI-6883-01</t>
  </si>
  <si>
    <t>TCGA-AG-3732-01</t>
  </si>
  <si>
    <t>TCGA-CI-6620-01</t>
  </si>
  <si>
    <t>TCGA-AH-6643-01</t>
  </si>
  <si>
    <t>TCGA-DY-A0XA-01</t>
  </si>
  <si>
    <t>TCGA-AF-3400-11</t>
  </si>
  <si>
    <t>TCGA-AF-A56K-01</t>
  </si>
  <si>
    <t>MEAN</t>
  </si>
  <si>
    <t>Representing value=0.005</t>
  </si>
  <si>
    <t>Representing value=0.0637</t>
  </si>
  <si>
    <t>Representing value=0.3321</t>
  </si>
  <si>
    <t>Row Labels</t>
  </si>
  <si>
    <t>Grand Total</t>
  </si>
  <si>
    <t>NK cell initial value=9000000</t>
  </si>
  <si>
    <t>T cells CD8 initial value=1.1466e+08</t>
  </si>
  <si>
    <t>Cerculating cells CD8 initial value=597780000</t>
  </si>
  <si>
    <t>`1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</si>
</sst>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8" fillId="0" borderId="0" xfId="0" applyFont="1"/>
    <xf numFmtId="0" fontId="14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501.869284953704" createdVersion="8" refreshedVersion="8" minRefreshableVersion="3" recordCount="423" xr:uid="{6B12F544-CD2A-43FE-AF55-E072BAE0DD8E}">
  <cacheSource type="worksheet">
    <worksheetSource ref="A1:M424" sheet="Type_1"/>
  </cacheSource>
  <cacheFields count="13">
    <cacheField name="Mixture" numFmtId="0">
      <sharedItems count="423">
        <s v="TCGA-A6-6137-01"/>
        <s v="TCGA-CK-4952-01"/>
        <s v="TCGA-AD-6963-01"/>
        <s v="TCGA-A6-A567-01"/>
        <s v="TCGA-AA-3712-11"/>
        <s v="TCGA-D5-6928-01"/>
        <s v="TCGA-G4-6295-01"/>
        <s v="TCGA-AZ-4313-01"/>
        <s v="TCGA-AA-3509-01"/>
        <s v="TCGA-DM-A28E-01"/>
        <s v="TCGA-A6-5667-11"/>
        <s v="TCGA-G4-6307-01"/>
        <s v="TCGA-A6-2682-01"/>
        <s v="TCGA-CM-5868-01"/>
        <s v="TCGA-CK-4947-01"/>
        <s v="TCGA-D5-5540-01"/>
        <s v="TCGA-A6-4105-01"/>
        <s v="TCGA-A6-6651-01"/>
        <s v="TCGA-G4-6625-01"/>
        <s v="TCGA-CM-5860-01"/>
        <s v="TCGA-DM-A28G-01"/>
        <s v="TCGA-A6-5666-01"/>
        <s v="TCGA-A6-2675-11"/>
        <s v="TCGA-AA-3516-11"/>
        <s v="TCGA-AZ-6605-01"/>
        <s v="TCGA-CA-5797-01"/>
        <s v="TCGA-D5-6930-01"/>
        <s v="TCGA-5M-AAT4-01"/>
        <s v="TCGA-AA-3685-01"/>
        <s v="TCGA-D5-6924-01"/>
        <s v="TCGA-CA-6718-01"/>
        <s v="TCGA-AZ-6603-01"/>
        <s v="TCGA-CM-5862-01"/>
        <s v="TCGA-AZ-6598-11"/>
        <s v="TCGA-AA-A01Z-01"/>
        <s v="TCGA-DM-A0X9-01"/>
        <s v="TCGA-A6-A566-01"/>
        <s v="TCGA-A6-5662-11"/>
        <s v="TCGA-D5-6534-01"/>
        <s v="TCGA-CK-6746-01"/>
        <s v="TCGA-A6-5656-01"/>
        <s v="TCGA-5M-AAT6-01"/>
        <s v="TCGA-QG-A5Z1-01"/>
        <s v="TCGA-AZ-6605-11"/>
        <s v="TCGA-CK-4951-01"/>
        <s v="TCGA-CM-6680-01"/>
        <s v="TCGA-CK-5913-01"/>
        <s v="TCGA-CM-6172-01"/>
        <s v="TCGA-G4-6309-01"/>
        <s v="TCGA-F4-6461-01"/>
        <s v="TCGA-G4-6299-01"/>
        <s v="TCGA-CM-6168-01"/>
        <s v="TCGA-AD-A5EK-01"/>
        <s v="TCGA-AM-5820-01"/>
        <s v="TCGA-A6-2682-11"/>
        <s v="TCGA-A6-6648-01"/>
        <s v="TCGA-CA-6717-01"/>
        <s v="TCGA-AU-6004-01"/>
        <s v="TCGA-A6-2684-01"/>
        <s v="TCGA-AZ-6599-11"/>
        <s v="TCGA-DM-A1HB-01"/>
        <s v="TCGA-A6-2685-01"/>
        <s v="TCGA-F4-6704-11"/>
        <s v="TCGA-F4-6856-01"/>
        <s v="TCGA-AA-3492-01"/>
        <s v="TCGA-G4-6294-01"/>
        <s v="TCGA-WS-AB45-01"/>
        <s v="TCGA-CK-5916-01"/>
        <s v="TCGA-NH-A50V-01"/>
        <s v="TCGA-NH-A6GA-01"/>
        <s v="TCGA-F4-6460-01"/>
        <s v="TCGA-F4-6806-01"/>
        <s v="TCGA-G4-6304-01"/>
        <s v="TCGA-QG-A5YW-01"/>
        <s v="TCGA-AD-6965-01"/>
        <s v="TCGA-D5-6920-01"/>
        <s v="TCGA-DM-A280-01"/>
        <s v="TCGA-G4-6297-01"/>
        <s v="TCGA-G4-6302-01"/>
        <s v="TCGA-QL-A97D-01"/>
        <s v="TCGA-CA-6716-01"/>
        <s v="TCGA-AA-3518-11"/>
        <s v="TCGA-AA-3531-11"/>
        <s v="TCGA-CA-6715-01"/>
        <s v="TCGA-CM-4743-01"/>
        <s v="TCGA-A6-6654-01"/>
        <s v="TCGA-5M-AAT5-01"/>
        <s v="TCGA-G4-6627-01"/>
        <s v="TCGA-A6-5664-01"/>
        <s v="TCGA-CM-6167-01"/>
        <s v="TCGA-AA-3534-11"/>
        <s v="TCGA-AD-6548-01"/>
        <s v="TCGA-F4-6805-01"/>
        <s v="TCGA-A6-6780-01"/>
        <s v="TCGA-DM-A1HA-01"/>
        <s v="TCGA-CM-6676-01"/>
        <s v="TCGA-A6-6650-01"/>
        <s v="TCGA-AA-3713-11"/>
        <s v="TCGA-NH-A6GB-01"/>
        <s v="TCGA-A6-6652-01"/>
        <s v="TCGA-CM-6164-01"/>
        <s v="TCGA-D5-6536-01"/>
        <s v="TCGA-G4-6588-01"/>
        <s v="TCGA-4N-A93T-01"/>
        <s v="TCGA-A6-2684-11"/>
        <s v="TCGA-F4-6459-01"/>
        <s v="TCGA-T9-A92H-01"/>
        <s v="TCGA-D5-5538-01"/>
        <s v="TCGA-CK-4948-01"/>
        <s v="TCGA-AA-3506-01"/>
        <s v="TCGA-CM-6166-01"/>
        <s v="TCGA-CK-5914-01"/>
        <s v="TCGA-AY-6196-01"/>
        <s v="TCGA-F4-6809-01"/>
        <s v="TCGA-CM-6171-01"/>
        <s v="TCGA-CM-5863-01"/>
        <s v="TCGA-D5-6539-01"/>
        <s v="TCGA-A6-5665-11"/>
        <s v="TCGA-NH-A8F7-01"/>
        <s v="TCGA-D5-5541-01"/>
        <s v="TCGA-F4-6808-01"/>
        <s v="TCGA-A6-2680-11"/>
        <s v="TCGA-AA-3511-11"/>
        <s v="TCGA-DM-A285-01"/>
        <s v="TCGA-AA-3522-11"/>
        <s v="TCGA-G4-6314-01"/>
        <s v="TCGA-A6-6781-01"/>
        <s v="TCGA-F4-6807-01"/>
        <s v="TCGA-AY-A54L-01"/>
        <s v="TCGA-A6-5661-01"/>
        <s v="TCGA-DM-A288-01"/>
        <s v="TCGA-QG-A5YX-01"/>
        <s v="TCGA-A6-2679-11"/>
        <s v="TCGA-AD-A5EJ-01"/>
        <s v="TCGA-G4-6628-01"/>
        <s v="TCGA-D5-6531-01"/>
        <s v="TCGA-DM-A28M-01"/>
        <s v="TCGA-CK-6751-01"/>
        <s v="TCGA-F4-6854-01"/>
        <s v="TCGA-A6-2683-11"/>
        <s v="TCGA-A6-6142-01"/>
        <s v="TCGA-NH-A8F8-01"/>
        <s v="TCGA-AM-5821-01"/>
        <s v="TCGA-D5-5537-01"/>
        <s v="TCGA-CM-6677-01"/>
        <s v="TCGA-AD-6888-01"/>
        <s v="TCGA-AZ-4615-01"/>
        <s v="TCGA-AA-3662-01"/>
        <s v="TCGA-DM-A28C-01"/>
        <s v="TCGA-NH-A8F7-06"/>
        <s v="TCGA-DM-A1DA-01"/>
        <s v="TCGA-F4-6569-01"/>
        <s v="TCGA-AA-3660-11"/>
        <s v="TCGA-CM-6674-01"/>
        <s v="TCGA-CK-4950-01"/>
        <s v="TCGA-DM-A1D9-01"/>
        <s v="TCGA-CA-6719-01"/>
        <s v="TCGA-CM-6675-01"/>
        <s v="TCGA-D5-6533-01"/>
        <s v="TCGA-A6-6782-01"/>
        <s v="TCGA-D5-5539-01"/>
        <s v="TCGA-CK-5912-01"/>
        <s v="TCGA-CM-4751-01"/>
        <s v="TCGA-AZ-4614-01"/>
        <s v="TCGA-A6-6140-01"/>
        <s v="TCGA-NH-A6GC-01"/>
        <s v="TCGA-AA-3495-01"/>
        <s v="TCGA-CM-4744-01"/>
        <s v="TCGA-AD-6895-01"/>
        <s v="TCGA-AD-6889-01"/>
        <s v="TCGA-AD-5900-01"/>
        <s v="TCGA-D5-6540-01"/>
        <s v="TCGA-AZ-5407-01"/>
        <s v="TCGA-A6-2685-11"/>
        <s v="TCGA-G4-6311-01"/>
        <s v="TCGA-D5-6923-01"/>
        <s v="TCGA-DM-A1D7-01"/>
        <s v="TCGA-A6-5659-11"/>
        <s v="TCGA-AY-A71X-01"/>
        <s v="TCGA-AZ-6600-11"/>
        <s v="TCGA-AA-3655-11"/>
        <s v="TCGA-CA-5254-01"/>
        <s v="TCGA-CM-5349-01"/>
        <s v="TCGA-A6-2686-11"/>
        <s v="TCGA-AZ-4682-01"/>
        <s v="TCGA-CM-5344-01"/>
        <s v="TCGA-NH-A50T-01"/>
        <s v="TCGA-AY-6386-01"/>
        <s v="TCGA-CA-5255-01"/>
        <s v="TCGA-AA-3662-11"/>
        <s v="TCGA-DM-A1DB-01"/>
        <s v="TCGA-DM-A28F-01"/>
        <s v="TCGA-AA-A02Y-01"/>
        <s v="TCGA-D5-6932-01"/>
        <s v="TCGA-AD-6899-01"/>
        <s v="TCGA-AY-6197-01"/>
        <s v="TCGA-AA-3660-01"/>
        <s v="TCGA-A6-5660-01"/>
        <s v="TCGA-D5-6541-01"/>
        <s v="TCGA-CM-4747-01"/>
        <s v="TCGA-AA-3511-01"/>
        <s v="TCGA-DM-A28H-01"/>
        <s v="TCGA-G4-6303-01"/>
        <s v="TCGA-CM-5861-01"/>
        <s v="TCGA-AA-3525-11"/>
        <s v="TCGA-CM-6161-01"/>
        <s v="TCGA-NH-A50U-01"/>
        <s v="TCGA-AZ-6607-01"/>
        <s v="TCGA-G4-6298-01"/>
        <s v="TCGA-D5-6538-01"/>
        <s v="TCGA-CM-6679-01"/>
        <s v="TCGA-AZ-4323-01"/>
        <s v="TCGA-G4-6322-01"/>
        <s v="TCGA-CM-5864-01"/>
        <s v="TCGA-CK-6747-01"/>
        <s v="TCGA-CM-6163-01"/>
        <s v="TCGA-AA-3713-01"/>
        <s v="TCGA-A6-A56B-01"/>
        <s v="TCGA-CM-5348-01"/>
        <s v="TCGA-AY-5543-01"/>
        <s v="TCGA-CM-6169-01"/>
        <s v="TCGA-AZ-6606-01"/>
        <s v="TCGA-RU-A8FL-01"/>
        <s v="TCGA-CM-6678-01"/>
        <s v="TCGA-A6-6649-01"/>
        <s v="TCGA-AA-3517-11"/>
        <s v="TCGA-AA-3675-01"/>
        <s v="TCGA-A6-5665-01"/>
        <s v="TCGA-DM-A0XF-01"/>
        <s v="TCGA-F4-6855-01"/>
        <s v="TCGA-AA-3496-11"/>
        <s v="TCGA-QG-A5Z2-01"/>
        <s v="TCGA-AA-3489-01"/>
        <s v="TCGA-A6-5662-01"/>
        <s v="TCGA-DM-A1D6-01"/>
        <s v="TCGA-AY-A69D-01"/>
        <s v="TCGA-D5-6898-01"/>
        <s v="TCGA-D5-6530-01"/>
        <s v="TCGA-DM-A28A-01"/>
        <s v="TCGA-D5-6532-01"/>
        <s v="TCGA-F4-6703-01"/>
        <s v="TCGA-DM-A1D0-01"/>
        <s v="TCGA-D5-6929-01"/>
        <s v="TCGA-F4-6704-01"/>
        <s v="TCGA-D5-7000-01"/>
        <s v="TCGA-AZ-6601-01"/>
        <s v="TCGA-AZ-4684-01"/>
        <s v="TCGA-G4-6317-02"/>
        <s v="TCGA-AA-3697-11"/>
        <s v="TCGA-CM-6165-01"/>
        <s v="TCGA-AZ-5403-01"/>
        <s v="TCGA-AY-A8YK-01"/>
        <s v="TCGA-AZ-6603-11"/>
        <s v="TCGA-A6-6653-01"/>
        <s v="TCGA-G4-6586-01"/>
        <s v="TCGA-AA-A01P-01"/>
        <s v="TCGA-AA-3502-01"/>
        <s v="TCGA-AA-3697-01"/>
        <s v="TCGA-AD-6890-01"/>
        <s v="TCGA-AZ-4315-01"/>
        <s v="TCGA-A6-5667-01"/>
        <s v="TCGA-G4-6293-01"/>
        <s v="TCGA-AA-3712-01"/>
        <s v="TCGA-AZ-4616-01"/>
        <s v="TCGA-AA-A02K-01"/>
        <s v="TCGA-G4-6323-01"/>
        <s v="TCGA-F4-6857-01"/>
        <s v="TCGA-DM-A282-01"/>
        <s v="TCGA-DM-A1D8-01"/>
        <s v="TCGA-NH-A5IV-01"/>
        <s v="TCGA-AZ-6601-11"/>
        <s v="TCGA-AD-6901-01"/>
        <s v="TCGA-CK-6748-01"/>
        <s v="TCGA-A6-6141-01"/>
        <s v="TCGA-3L-AA1B-01"/>
        <s v="TCGA-AA-3496-01"/>
        <s v="TCGA-A6-2678-11"/>
        <s v="TCGA-CM-6170-01"/>
        <s v="TCGA-AU-3779-01"/>
        <s v="TCGA-G4-6315-01"/>
        <s v="TCGA-G4-6310-01"/>
        <s v="TCGA-5M-AATA-01"/>
        <s v="TCGA-A6-5659-01"/>
        <s v="TCGA-D5-6537-01"/>
        <s v="TCGA-AA-3663-01"/>
        <s v="TCGA-D5-6529-01"/>
        <s v="TCGA-AA-3514-11"/>
        <s v="TCGA-D5-6927-01"/>
        <s v="TCGA-AA-3520-11"/>
        <s v="TCGA-A6-A565-01"/>
        <s v="TCGA-A6-2675-01"/>
        <s v="TCGA-G4-6306-01"/>
        <s v="TCGA-G4-6320-01"/>
        <s v="TCGA-DM-A28K-01"/>
        <s v="TCGA-A6-2671-11"/>
        <s v="TCGA-AZ-6600-01"/>
        <s v="TCGA-D5-6926-01"/>
        <s v="TCGA-AD-6964-01"/>
        <s v="TCGA-A6-2686-01"/>
        <s v="TCGA-AZ-6608-01"/>
        <s v="TCGA-5M-AATE-01"/>
        <s v="TCGA-CK-5915-01"/>
        <s v="TCGA-D5-6922-01"/>
        <s v="TCGA-G4-6321-01"/>
        <s v="TCGA-A6-A5ZU-01"/>
        <s v="TCGA-F4-6463-01"/>
        <s v="TCGA-AA-3526-01"/>
        <s v="TCGA-AA-3527-11"/>
        <s v="TCGA-F4-6570-01"/>
        <s v="TCGA-G4-6317-01"/>
        <s v="TCGA-SS-A7HO-01"/>
        <s v="TCGA-4T-AA8H-01"/>
        <s v="TCGA-CM-6162-01"/>
        <s v="TCGA-AA-3489-11"/>
        <s v="TCGA-DM-A1D4-01"/>
        <s v="TCGA-QG-A5YV-01"/>
        <s v="TCGA-CA-5796-01"/>
        <s v="TCGA-G4-6626-01"/>
        <s v="TCGA-DC-6156-01"/>
        <s v="TCGA-DC-6160-01"/>
        <s v="TCGA-EI-6512-01"/>
        <s v="TCGA-DC-5869-01"/>
        <s v="TCGA-EI-6507-01"/>
        <s v="TCGA-AF-3911-01"/>
        <s v="TCGA-EI-7004-01"/>
        <s v="TCGA-G5-6572-01"/>
        <s v="TCGA-EF-5830-01"/>
        <s v="TCGA-F5-6812-01"/>
        <s v="TCGA-CI-6624-01"/>
        <s v="TCGA-AG-3902-01"/>
        <s v="TCGA-EF-5831-01"/>
        <s v="TCGA-AG-3731-01"/>
        <s v="TCGA-AF-A56L-01"/>
        <s v="TCGA-DT-5265-01"/>
        <s v="TCGA-F5-6465-01"/>
        <s v="TCGA-AH-6547-01"/>
        <s v="TCGA-F5-6811-01"/>
        <s v="TCGA-F5-6571-01"/>
        <s v="TCGA-AH-6903-01"/>
        <s v="TCGA-DC-6682-01"/>
        <s v="TCGA-AF-6672-01"/>
        <s v="TCGA-EI-7002-01"/>
        <s v="TCGA-BM-6198-01"/>
        <s v="TCGA-F5-6864-01"/>
        <s v="TCGA-EI-6881-01"/>
        <s v="TCGA-DC-5337-01"/>
        <s v="TCGA-G5-6235-01"/>
        <s v="TCGA-G5-6572-02"/>
        <s v="TCGA-DC-6681-01"/>
        <s v="TCGA-EI-6511-01"/>
        <s v="TCGA-F5-6464-01"/>
        <s v="TCGA-EI-6509-01"/>
        <s v="TCGA-AH-6897-01"/>
        <s v="TCGA-EI-6508-01"/>
        <s v="TCGA-AH-6544-01"/>
        <s v="TCGA-DY-A1H8-01"/>
        <s v="TCGA-AF-2693-01"/>
        <s v="TCGA-AF-5654-11"/>
        <s v="TCGA-CI-6622-01"/>
        <s v="TCGA-EI-6882-01"/>
        <s v="TCGA-AH-6643-11"/>
        <s v="TCGA-DY-A1DC-01"/>
        <s v="TCGA-EI-6884-01"/>
        <s v="TCGA-AF-5654-01"/>
        <s v="TCGA-AG-3725-11"/>
        <s v="TCGA-AG-4021-01"/>
        <s v="TCGA-CL-5917-01"/>
        <s v="TCGA-AF-6136-01"/>
        <s v="TCGA-AG-3742-01"/>
        <s v="TCGA-DC-6155-01"/>
        <s v="TCGA-F5-6814-01"/>
        <s v="TCGA-F5-6702-01"/>
        <s v="TCGA-CI-6623-01"/>
        <s v="TCGA-AF-A56N-01"/>
        <s v="TCGA-G5-6641-01"/>
        <s v="TCGA-AF-2690-01"/>
        <s v="TCGA-F5-6861-01"/>
        <s v="TCGA-AH-6549-01"/>
        <s v="TCGA-EI-6510-01"/>
        <s v="TCGA-AF-6655-01"/>
        <s v="TCGA-AH-6644-01"/>
        <s v="TCGA-DY-A1DG-01"/>
        <s v="TCGA-DC-6158-01"/>
        <s v="TCGA-CL-4957-01"/>
        <s v="TCGA-CL-5918-01"/>
        <s v="TCGA-CI-6621-01"/>
        <s v="TCGA-AG-3742-11"/>
        <s v="TCGA-DC-4749-01"/>
        <s v="TCGA-DC-6683-01"/>
        <s v="TCGA-DC-4745-01"/>
        <s v="TCGA-CI-6619-01"/>
        <s v="TCGA-DY-A1DE-01"/>
        <s v="TCGA-EI-6885-01"/>
        <s v="TCGA-G5-6233-01"/>
        <s v="TCGA-AG-3732-11"/>
        <s v="TCGA-AG-3731-11"/>
        <s v="TCGA-DC-6157-01"/>
        <s v="TCGA-DY-A1DF-01"/>
        <s v="TCGA-F5-6813-01"/>
        <s v="TCGA-AF-4110-01"/>
        <s v="TCGA-EI-6514-01"/>
        <s v="TCGA-EI-6513-01"/>
        <s v="TCGA-AF-2689-11"/>
        <s v="TCGA-AF-2687-01"/>
        <s v="TCGA-DY-A1DD-01"/>
        <s v="TCGA-F5-6863-01"/>
        <s v="TCGA-F5-6810-01"/>
        <s v="TCGA-AG-3591-01"/>
        <s v="TCGA-EI-6917-01"/>
        <s v="TCGA-AF-2691-11"/>
        <s v="TCGA-EI-6883-01"/>
        <s v="TCGA-AG-4022-01"/>
        <s v="TCGA-AG-3732-01"/>
        <s v="TCGA-CI-6620-01"/>
        <s v="TCGA-AG-3725-01"/>
        <s v="TCGA-AH-6643-01"/>
        <s v="TCGA-DY-A0XA-01"/>
        <s v="TCGA-AF-3400-11"/>
        <s v="TCGA-EI-6506-01"/>
        <s v="TCGA-AF-2692-11"/>
        <s v="TCGA-AF-A56K-01"/>
        <s v="TCGA-DC-6154-01"/>
        <s v="TCGA-AG-3592-01"/>
      </sharedItems>
    </cacheField>
    <cacheField name="NK cells activated" numFmtId="0">
      <sharedItems containsSemiMixedTypes="0" containsString="0" containsNumber="1" minValue="0" maxValue="4.2364994000000003E-2" count="208">
        <n v="5.3629130000000004E-3"/>
        <n v="0"/>
        <n v="4.2364994000000003E-2"/>
        <n v="1.6660469999999999E-3"/>
        <n v="6.8858030000000002E-3"/>
        <n v="1.5974254E-2"/>
        <n v="6.2019019999999996E-3"/>
        <n v="2.1631734E-2"/>
        <n v="2.0750360000000002E-3"/>
        <n v="8.2725939999999994E-3"/>
        <n v="2.3969651000000002E-2"/>
        <n v="8.0842199999999996E-3"/>
        <n v="3.1444699999999999E-3"/>
        <n v="1.2176256999999999E-2"/>
        <n v="1.8580093999999998E-2"/>
        <n v="1.2684747999999999E-2"/>
        <n v="3.4963912999999999E-2"/>
        <n v="1.5551947999999999E-2"/>
        <n v="1.4085723E-2"/>
        <n v="1.6446347E-2"/>
        <n v="2.7779117999999998E-2"/>
        <n v="2.0557268E-2"/>
        <n v="1.6002776999999999E-2"/>
        <n v="7.26263E-4"/>
        <n v="2.2467226E-2"/>
        <n v="4.847138E-3"/>
        <n v="4.02922E-3"/>
        <n v="1.0754021000000001E-2"/>
        <n v="1.3582006000000001E-2"/>
        <n v="7.8388659999999999E-3"/>
        <n v="5.0552100000000001E-3"/>
        <n v="2.4270989999999998E-3"/>
        <n v="8.7066090000000006E-3"/>
        <n v="5.9226030000000002E-3"/>
        <n v="1.3771079999999999E-3"/>
        <n v="3.4114129999999999E-2"/>
        <n v="3.568206E-3"/>
        <n v="6.4819499999999996E-4"/>
        <n v="1.2876090999999999E-2"/>
        <n v="1.4026739E-2"/>
        <n v="1.8125170999999999E-2"/>
        <n v="1.4062710000000001E-2"/>
        <n v="1.9383076999999999E-2"/>
        <n v="4.2170710000000002E-3"/>
        <n v="6.9558900000000004E-4"/>
        <n v="4.4135529999999997E-3"/>
        <n v="2.9395340000000002E-3"/>
        <n v="3.4108758000000003E-2"/>
        <n v="1.6426636000000001E-2"/>
        <n v="2.3402430000000001E-3"/>
        <n v="7.8524809999999997E-3"/>
        <n v="1.424278E-3"/>
        <n v="2.5671075000000002E-2"/>
        <n v="2.3880080000000001E-3"/>
        <n v="1.5514131E-2"/>
        <n v="1.5183523000000001E-2"/>
        <n v="8.7662000000000005E-4"/>
        <n v="2.5825223000000001E-2"/>
        <n v="1.6909968000000001E-2"/>
        <n v="6.2235119999999996E-3"/>
        <n v="3.0743459000000001E-2"/>
        <n v="6.0178640000000004E-3"/>
        <n v="1.1825667999999999E-2"/>
        <n v="2.3471149999999999E-3"/>
        <n v="2.4865199000000001E-2"/>
        <n v="2.683497E-3"/>
        <n v="9.9090859999999992E-3"/>
        <n v="8.9335679999999994E-3"/>
        <n v="1.2706787000000001E-2"/>
        <n v="1.0787583E-2"/>
        <n v="4.0702760000000003E-3"/>
        <n v="3.5315059999999998E-3"/>
        <n v="4.3375050000000002E-3"/>
        <n v="2.2164985000000002E-2"/>
        <n v="2.1926810000000001E-3"/>
        <n v="2.2596925E-2"/>
        <n v="3.5152968999999999E-2"/>
        <n v="2.029575E-3"/>
        <n v="7.2636829999999999E-3"/>
        <n v="1.2147137000000001E-2"/>
        <n v="8.5807430000000001E-3"/>
        <n v="1.5561029000000001E-2"/>
        <n v="2.7645669999999999E-3"/>
        <n v="5.0834950000000004E-3"/>
        <n v="6.2146060000000001E-3"/>
        <n v="5.4310299999999999E-3"/>
        <n v="2.916886E-3"/>
        <n v="1.6083763000000001E-2"/>
        <n v="2.6271362999999999E-2"/>
        <n v="2.9222799000000001E-2"/>
        <n v="1.0712361E-2"/>
        <n v="1.8403557000000001E-2"/>
        <n v="1.0988097E-2"/>
        <n v="1.4155127E-2"/>
        <n v="1.5611167E-2"/>
        <n v="9.0014069999999995E-3"/>
        <n v="7.092971E-3"/>
        <n v="2.1729504E-2"/>
        <n v="1.1350144E-2"/>
        <n v="1.0373426E-2"/>
        <n v="3.1378014000000003E-2"/>
        <n v="1.5375381E-2"/>
        <n v="1.097451E-2"/>
        <n v="1.6548955000000001E-2"/>
        <n v="8.3969800000000001E-3"/>
        <n v="5.0891970000000002E-3"/>
        <n v="1.2828192E-2"/>
        <n v="6.6173309999999997E-3"/>
        <n v="1.6980929999999999E-3"/>
        <n v="1.3192779999999999E-3"/>
        <n v="6.2416290000000003E-3"/>
        <n v="6.3515919999999997E-3"/>
        <n v="1.0803597999999999E-2"/>
        <n v="1.6296066000000001E-2"/>
        <n v="9.0394110000000007E-3"/>
        <n v="1.8069091999999998E-2"/>
        <n v="6.1417470000000004E-3"/>
        <n v="3.540077E-3"/>
        <n v="6.6288079999999999E-3"/>
        <n v="1.0037149E-2"/>
        <n v="2.4550400000000001E-4"/>
        <n v="2.2707905E-2"/>
        <n v="2.7808889999999999E-2"/>
        <n v="1.1407500000000001E-3"/>
        <n v="9.5007719999999993E-3"/>
        <n v="2.6773683E-2"/>
        <n v="1.0184856000000001E-2"/>
        <n v="6.1679200000000003E-3"/>
        <n v="8.8221020000000001E-3"/>
        <n v="1.9947665E-2"/>
        <n v="3.3135795000000003E-2"/>
        <n v="3.1508264000000001E-2"/>
        <n v="8.139627E-3"/>
        <n v="6.9979730000000002E-3"/>
        <n v="1.5426758E-2"/>
        <n v="2.5918235000000001E-2"/>
        <n v="2.6018917999999999E-2"/>
        <n v="8.2886239999999996E-3"/>
        <n v="1.0523785000000001E-2"/>
        <n v="1.2308062999999999E-2"/>
        <n v="1.171203E-3"/>
        <n v="1.2607698000000001E-2"/>
        <n v="1.1142479E-2"/>
        <n v="7.1289500000000002E-3"/>
        <n v="5.2389439999999997E-3"/>
        <n v="3.0001252999999999E-2"/>
        <n v="3.9703150000000003E-3"/>
        <n v="2.1171568000000002E-2"/>
        <n v="1.1869945E-2"/>
        <n v="4.5803499999999997E-4"/>
        <n v="4.3584009999999996E-3"/>
        <n v="7.3886860000000002E-3"/>
        <n v="1.5958697000000001E-2"/>
        <n v="1.0184949E-2"/>
        <n v="2.0733446999999999E-2"/>
        <n v="1.3220399000000001E-2"/>
        <n v="2.5708186000000001E-2"/>
        <n v="1.526915E-2"/>
        <n v="1.8801480000000001E-3"/>
        <n v="6.9538E-4"/>
        <n v="1.9767000999999999E-2"/>
        <n v="1.0703545E-2"/>
        <n v="5.5236720000000003E-3"/>
        <n v="1.1433249999999999E-3"/>
        <n v="7.1248500000000003E-3"/>
        <n v="9.5034579999999994E-3"/>
        <n v="1.3144813999999999E-2"/>
        <n v="2.4202859999999998E-3"/>
        <n v="5.3255100000000003E-4"/>
        <n v="2.7686080000000001E-3"/>
        <n v="1.1736174E-2"/>
        <n v="4.2247329999999996E-3"/>
        <n v="1.7747958000000001E-2"/>
        <n v="2.765104E-3"/>
        <n v="1.3362002E-2"/>
        <n v="3.0572999999999999E-4"/>
        <n v="5.5193839999999996E-3"/>
        <n v="1.1556772999999999E-2"/>
        <n v="9.106655E-3"/>
        <n v="9.1608900000000003E-4"/>
        <n v="1.188164E-3"/>
        <n v="1.5067488E-2"/>
        <n v="1.903891E-3"/>
        <n v="6.224177E-3"/>
        <n v="1.146151E-3"/>
        <n v="4.5601110000000004E-3"/>
        <n v="6.0259349999999996E-3"/>
        <n v="1.856365E-3"/>
        <n v="8.4053180000000002E-3"/>
        <n v="3.698509E-3"/>
        <n v="2.0469600000000001E-4"/>
        <n v="3.5468864000000003E-2"/>
        <n v="2.0042336000000001E-2"/>
        <n v="8.9832969999999995E-3"/>
        <n v="7.8972299999999999E-3"/>
        <n v="4.0961560000000001E-3"/>
        <n v="9.0595459999999999E-3"/>
        <n v="1.9854956999999999E-2"/>
        <n v="8.3297470000000002E-3"/>
        <n v="8.07221E-4"/>
        <n v="1.7510509E-2"/>
        <n v="2.1929499999999999E-4"/>
        <n v="1.4034200000000001E-4"/>
        <n v="1.4374779000000001E-2"/>
        <n v="5.5614810000000001E-3"/>
        <n v="1.4789899999999999E-3"/>
        <n v="6.6025119999999996E-3"/>
        <n v="6.3195200000000003E-3"/>
      </sharedItems>
    </cacheField>
    <cacheField name="NK cells resting" numFmtId="0">
      <sharedItems containsSemiMixedTypes="0" containsString="0" containsNumber="1" minValue="6.3628299999999999E-3" maxValue="0.106079733"/>
    </cacheField>
    <cacheField name="T cells CD8" numFmtId="0">
      <sharedItems containsSemiMixedTypes="0" containsString="0" containsNumber="1" minValue="0" maxValue="0.150686403"/>
    </cacheField>
    <cacheField name="B cells naive" numFmtId="0">
      <sharedItems containsSemiMixedTypes="0" containsString="0" containsNumber="1" minValue="1.7662351E-2" maxValue="0.230985835"/>
    </cacheField>
    <cacheField name="T cells CD4 memory resting" numFmtId="0">
      <sharedItems containsSemiMixedTypes="0" containsString="0" containsNumber="1" minValue="5.9823824999999997E-2" maxValue="0.34154499700000002"/>
    </cacheField>
    <cacheField name="T cells follicular helper" numFmtId="0">
      <sharedItems containsSemiMixedTypes="0" containsString="0" containsNumber="1" minValue="3.5561769999999999E-2" maxValue="0.15290500900000001"/>
    </cacheField>
    <cacheField name="Circulating  cell total" numFmtId="0">
      <sharedItems containsSemiMixedTypes="0" containsString="0" containsNumber="1" minValue="0.18418031499999998" maxValue="0.44274152700000002"/>
    </cacheField>
    <cacheField name="Dendritic cells activated" numFmtId="0">
      <sharedItems containsSemiMixedTypes="0" containsString="0" containsNumber="1" minValue="0" maxValue="5.9146174000000003E-2"/>
    </cacheField>
    <cacheField name="Macrophages M0" numFmtId="0">
      <sharedItems containsSemiMixedTypes="0" containsString="0" containsNumber="1" minValue="1.9916634999999999E-2" maxValue="0.169097149"/>
    </cacheField>
    <cacheField name="Monocytes" numFmtId="0">
      <sharedItems containsSemiMixedTypes="0" containsString="0" containsNumber="1" minValue="0" maxValue="5.3836331000000001E-2"/>
    </cacheField>
    <cacheField name="Dendritic cells resting" numFmtId="0">
      <sharedItems containsSemiMixedTypes="0" containsString="0" containsNumber="1" minValue="0" maxValue="5.2935854999999997E-2"/>
    </cacheField>
    <cacheField name="Neutrophils" numFmtId="0">
      <sharedItems containsSemiMixedTypes="0" containsString="0" containsNumber="1" minValue="0" maxValue="3.902698699999999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3">
  <r>
    <x v="0"/>
    <x v="0"/>
    <n v="4.3721424000000002E-2"/>
    <n v="3.3776162999999998E-2"/>
    <n v="9.4545590999999998E-2"/>
    <n v="0.21898021400000001"/>
    <n v="3.6943210999999997E-2"/>
    <n v="0.35046901599999997"/>
    <n v="1.4274287E-2"/>
    <n v="0.15713323600000001"/>
    <n v="1.0863477999999999E-2"/>
    <n v="0"/>
    <n v="0"/>
  </r>
  <r>
    <x v="1"/>
    <x v="1"/>
    <n v="2.1293599999999999E-2"/>
    <n v="0"/>
    <n v="2.4183547999999999E-2"/>
    <n v="0.34154499700000002"/>
    <n v="4.4912014E-2"/>
    <n v="0.41064055900000002"/>
    <n v="9.6394580000000001E-3"/>
    <n v="0.145388884"/>
    <n v="1.5319084E-2"/>
    <n v="5.4846030000000002E-3"/>
    <n v="0"/>
  </r>
  <r>
    <x v="2"/>
    <x v="1"/>
    <n v="3.149126E-2"/>
    <n v="9.2338992999999994E-2"/>
    <n v="0.230985835"/>
    <n v="0.138675037"/>
    <n v="5.4209932000000002E-2"/>
    <n v="0.42387080399999999"/>
    <n v="4.089549E-2"/>
    <n v="5.5890777000000003E-2"/>
    <n v="1.8223148000000002E-2"/>
    <n v="0"/>
    <n v="0"/>
  </r>
  <r>
    <x v="3"/>
    <x v="1"/>
    <n v="1.2679612E-2"/>
    <n v="0.13309328500000001"/>
    <n v="0.120535238"/>
    <n v="8.1181716000000001E-2"/>
    <n v="9.4238431999999997E-2"/>
    <n v="0.29595538599999999"/>
    <n v="2.9655698000000001E-2"/>
    <n v="8.3746976000000001E-2"/>
    <n v="1.678772E-3"/>
    <n v="0"/>
    <n v="2.5879599999999998E-3"/>
  </r>
  <r>
    <x v="4"/>
    <x v="1"/>
    <n v="6.7254591000000002E-2"/>
    <n v="5.3421751000000003E-2"/>
    <n v="5.0377138000000002E-2"/>
    <n v="0.22240558699999999"/>
    <n v="6.7993429999999994E-2"/>
    <n v="0.34077615500000003"/>
    <n v="3.9259231999999998E-2"/>
    <n v="0.169097149"/>
    <n v="2.0337920999999998E-2"/>
    <n v="0"/>
    <n v="8.7072590000000002E-3"/>
  </r>
  <r>
    <x v="5"/>
    <x v="1"/>
    <n v="5.1373809999999999E-2"/>
    <n v="5.9470179999999997E-2"/>
    <n v="1.7662351E-2"/>
    <n v="0.219218158"/>
    <n v="7.5158111E-2"/>
    <n v="0.31203861999999999"/>
    <n v="1.0675598999999999E-2"/>
    <n v="0.16823489799999999"/>
    <n v="0"/>
    <n v="0"/>
    <n v="0"/>
  </r>
  <r>
    <x v="6"/>
    <x v="2"/>
    <n v="6.3628299999999999E-3"/>
    <n v="3.9339369999999999E-2"/>
    <n v="6.0004466999999999E-2"/>
    <n v="0.222359169"/>
    <n v="4.1410433000000003E-2"/>
    <n v="0.323774069"/>
    <n v="0"/>
    <n v="6.8032760999999997E-2"/>
    <n v="2.9269048999999998E-2"/>
    <n v="0"/>
    <n v="0"/>
  </r>
  <r>
    <x v="7"/>
    <x v="1"/>
    <n v="1.6504960999999999E-2"/>
    <n v="7.5355828999999999E-2"/>
    <n v="0.10241003999999999"/>
    <n v="0.16091124700000001"/>
    <n v="3.5561769999999999E-2"/>
    <n v="0.29888305700000001"/>
    <n v="5.3781137E-2"/>
    <n v="4.8433825E-2"/>
    <n v="3.7527738999999997E-2"/>
    <n v="4.8444359999999997E-3"/>
    <n v="1.0260277E-2"/>
  </r>
  <r>
    <x v="8"/>
    <x v="1"/>
    <n v="9.1131915999999993E-2"/>
    <n v="3.7820085000000003E-2"/>
    <n v="5.6745421999999997E-2"/>
    <n v="0.16989464400000001"/>
    <n v="5.9129118000000001E-2"/>
    <n v="0.28576918400000001"/>
    <n v="4.5105885999999998E-2"/>
    <n v="0.15630355000000001"/>
    <n v="1.6588200000000001E-3"/>
    <n v="0"/>
    <n v="1.1552315E-2"/>
  </r>
  <r>
    <x v="9"/>
    <x v="1"/>
    <n v="6.1005073999999999E-2"/>
    <n v="3.1175544999999999E-2"/>
    <n v="7.8079571E-2"/>
    <n v="0.22224682200000001"/>
    <n v="0.10319165199999999"/>
    <n v="0.40351804499999999"/>
    <n v="3.4000221999999997E-2"/>
    <n v="5.8718800000000002E-2"/>
    <n v="8.1958229999999997E-3"/>
    <n v="2.7495439E-2"/>
    <n v="0"/>
  </r>
  <r>
    <x v="10"/>
    <x v="3"/>
    <n v="4.9017391E-2"/>
    <n v="5.6377205999999999E-2"/>
    <n v="0.100282499"/>
    <n v="0.162279865"/>
    <n v="0.10015705599999999"/>
    <n v="0.36271942000000001"/>
    <n v="4.1168112999999999E-2"/>
    <n v="3.2569306999999999E-2"/>
    <n v="7.5524629999999997E-3"/>
    <n v="2.9529874000000001E-2"/>
    <n v="3.4773339999999999E-3"/>
  </r>
  <r>
    <x v="11"/>
    <x v="4"/>
    <n v="4.665565E-2"/>
    <n v="6.3046590999999999E-2"/>
    <n v="0.13701738399999999"/>
    <n v="0.125704448"/>
    <n v="0.101343424"/>
    <n v="0.364065256"/>
    <n v="1.6038932999999998E-2"/>
    <n v="6.7867250000000004E-2"/>
    <n v="2.5859066999999999E-2"/>
    <n v="5.1518702999999999E-2"/>
    <n v="0"/>
  </r>
  <r>
    <x v="12"/>
    <x v="1"/>
    <n v="6.8546670000000004E-2"/>
    <n v="2.9028307E-2"/>
    <n v="5.8446725999999997E-2"/>
    <n v="0.17233558800000001"/>
    <n v="7.2084704999999999E-2"/>
    <n v="0.30286701900000002"/>
    <n v="3.4480884000000003E-2"/>
    <n v="0.102889152"/>
    <n v="2.7724594000000002E-2"/>
    <n v="1.4895475E-2"/>
    <n v="2.4510138000000001E-2"/>
  </r>
  <r>
    <x v="13"/>
    <x v="5"/>
    <n v="2.3990299999999999E-2"/>
    <n v="2.5433999999999998E-2"/>
    <n v="5.9998705999999999E-2"/>
    <n v="0.15043066299999999"/>
    <n v="0.10004101"/>
    <n v="0.31047037899999996"/>
    <n v="4.4049541999999997E-2"/>
    <n v="8.9781367000000001E-2"/>
    <n v="1.9108880000000002E-2"/>
    <n v="1.9734817000000002E-2"/>
    <n v="1.1180542E-2"/>
  </r>
  <r>
    <x v="14"/>
    <x v="6"/>
    <n v="3.3715698000000002E-2"/>
    <n v="7.2697098000000002E-2"/>
    <n v="6.4860945000000003E-2"/>
    <n v="0.15682104499999999"/>
    <n v="8.9231508000000001E-2"/>
    <n v="0.31091349800000001"/>
    <n v="3.6974857E-2"/>
    <n v="6.7304103000000004E-2"/>
    <n v="3.1549120999999999E-2"/>
    <n v="3.2505559000000003E-2"/>
    <n v="1.1523653999999999E-2"/>
  </r>
  <r>
    <x v="15"/>
    <x v="7"/>
    <n v="1.4906264000000001E-2"/>
    <n v="6.9763024000000007E-2"/>
    <n v="4.1980557000000002E-2"/>
    <n v="0.14034912699999999"/>
    <n v="0.120579148"/>
    <n v="0.30290883199999996"/>
    <n v="3.2704522E-2"/>
    <n v="7.8123095000000004E-2"/>
    <n v="1.2372704E-2"/>
    <n v="2.6002491999999999E-2"/>
    <n v="1.7558687E-2"/>
  </r>
  <r>
    <x v="16"/>
    <x v="1"/>
    <n v="4.9482790999999998E-2"/>
    <n v="7.3854524000000005E-2"/>
    <n v="6.3869388999999999E-2"/>
    <n v="0.138000293"/>
    <n v="0.11093913900000001"/>
    <n v="0.31280882100000001"/>
    <n v="3.2554808999999997E-2"/>
    <n v="8.6134742E-2"/>
    <n v="2.4317172000000001E-2"/>
    <n v="1.3036212E-2"/>
    <n v="1.5926115000000001E-2"/>
  </r>
  <r>
    <x v="17"/>
    <x v="1"/>
    <n v="4.6166872999999997E-2"/>
    <n v="5.8896175000000002E-2"/>
    <n v="7.0762199999999997E-2"/>
    <n v="0.13094608899999999"/>
    <n v="9.2767513999999995E-2"/>
    <n v="0.29447580299999998"/>
    <n v="3.4200319999999999E-2"/>
    <n v="8.5612009000000003E-2"/>
    <n v="3.1557006999999998E-2"/>
    <n v="2.3825872000000001E-2"/>
    <n v="7.9913959999999996E-3"/>
  </r>
  <r>
    <x v="18"/>
    <x v="8"/>
    <n v="4.5688856999999999E-2"/>
    <n v="6.4490527000000006E-2"/>
    <n v="8.3350679999999996E-2"/>
    <n v="0.15918537799999999"/>
    <n v="0.105962151"/>
    <n v="0.348498209"/>
    <n v="3.5944885000000003E-2"/>
    <n v="6.4237013999999995E-2"/>
    <n v="2.4835158E-2"/>
    <n v="3.7340955000000002E-2"/>
    <n v="7.1425639999999997E-3"/>
  </r>
  <r>
    <x v="19"/>
    <x v="9"/>
    <n v="6.5939520000000001E-2"/>
    <n v="6.9306374000000004E-2"/>
    <n v="3.4243208999999997E-2"/>
    <n v="0.171128638"/>
    <n v="8.3563445E-2"/>
    <n v="0.28893529200000001"/>
    <n v="3.0429747E-2"/>
    <n v="8.2120393999999999E-2"/>
    <n v="2.3562669000000001E-2"/>
    <n v="3.4155970000000001E-2"/>
    <n v="1.2244280999999999E-2"/>
  </r>
  <r>
    <x v="20"/>
    <x v="1"/>
    <n v="4.5644208999999998E-2"/>
    <n v="8.6020099000000003E-2"/>
    <n v="5.4770553999999999E-2"/>
    <n v="0.15473230900000001"/>
    <n v="0.11349421899999999"/>
    <n v="0.32299708199999999"/>
    <n v="4.0594141E-2"/>
    <n v="6.3113268E-2"/>
    <n v="2.490359E-2"/>
    <n v="1.2374069999999999E-2"/>
    <n v="0"/>
  </r>
  <r>
    <x v="21"/>
    <x v="1"/>
    <n v="5.3816211000000003E-2"/>
    <n v="9.2118830000000006E-3"/>
    <n v="7.4336784000000003E-2"/>
    <n v="0.174302551"/>
    <n v="8.3166780999999995E-2"/>
    <n v="0.33180611599999998"/>
    <n v="2.0473946999999999E-2"/>
    <n v="9.2661341999999994E-2"/>
    <n v="3.6447854000000002E-2"/>
    <n v="0"/>
    <n v="3.0569024E-2"/>
  </r>
  <r>
    <x v="22"/>
    <x v="1"/>
    <n v="6.3472028E-2"/>
    <n v="6.3897080999999994E-2"/>
    <n v="5.3617462999999997E-2"/>
    <n v="0.21639513099999999"/>
    <n v="5.8770405999999997E-2"/>
    <n v="0.32878299999999999"/>
    <n v="3.3786160000000003E-2"/>
    <n v="3.9726247999999999E-2"/>
    <n v="3.7365215E-2"/>
    <n v="1.7253451E-2"/>
    <n v="3.3555770000000002E-3"/>
  </r>
  <r>
    <x v="23"/>
    <x v="10"/>
    <n v="4.1286926000000002E-2"/>
    <n v="9.2699614999999999E-2"/>
    <n v="4.5536113000000003E-2"/>
    <n v="0.16091598400000001"/>
    <n v="9.1049633000000005E-2"/>
    <n v="0.29750173000000002"/>
    <n v="3.6956621000000002E-2"/>
    <n v="3.2739487999999997E-2"/>
    <n v="2.3238235999999999E-2"/>
    <n v="2.3123139000000001E-2"/>
    <n v="4.2869020000000004E-3"/>
  </r>
  <r>
    <x v="24"/>
    <x v="1"/>
    <n v="5.4255278999999997E-2"/>
    <n v="5.4100664E-2"/>
    <n v="6.7812201000000003E-2"/>
    <n v="0.15792257300000001"/>
    <n v="9.8597175999999995E-2"/>
    <n v="0.32433195000000004"/>
    <n v="2.9832436E-2"/>
    <n v="8.9943844999999994E-2"/>
    <n v="1.7270667E-2"/>
    <n v="2.5450898999999999E-2"/>
    <n v="1.3861528999999999E-2"/>
  </r>
  <r>
    <x v="25"/>
    <x v="11"/>
    <n v="5.1609140999999997E-2"/>
    <n v="7.3314387999999994E-2"/>
    <n v="6.0374569000000003E-2"/>
    <n v="0.14441796200000001"/>
    <n v="8.2716919E-2"/>
    <n v="0.28750945"/>
    <n v="4.3636187999999999E-2"/>
    <n v="8.9577754999999995E-2"/>
    <n v="2.6228537999999999E-2"/>
    <n v="2.7703719000000002E-2"/>
    <n v="4.9945179999999999E-3"/>
  </r>
  <r>
    <x v="26"/>
    <x v="12"/>
    <n v="5.2671808000000001E-2"/>
    <n v="8.1198151999999996E-2"/>
    <n v="9.9813218999999995E-2"/>
    <n v="0.136819842"/>
    <n v="0.108280818"/>
    <n v="0.34491387899999998"/>
    <n v="2.8616900000000001E-2"/>
    <n v="6.9647009999999995E-2"/>
    <n v="2.8278385999999999E-2"/>
    <n v="2.4155273000000001E-2"/>
    <n v="7.7271060000000001E-3"/>
  </r>
  <r>
    <x v="27"/>
    <x v="1"/>
    <n v="6.1726057000000001E-2"/>
    <n v="6.9855517000000006E-2"/>
    <n v="6.4975332999999996E-2"/>
    <n v="0.14321683099999999"/>
    <n v="0.12649845200000001"/>
    <n v="0.334690616"/>
    <n v="3.6728970999999999E-2"/>
    <n v="7.9786327000000004E-2"/>
    <n v="2.4237323000000002E-2"/>
    <n v="0"/>
    <n v="1.7345528999999998E-2"/>
  </r>
  <r>
    <x v="28"/>
    <x v="13"/>
    <n v="3.2180761000000002E-2"/>
    <n v="6.2542371999999999E-2"/>
    <n v="5.9312618999999997E-2"/>
    <n v="0.15865372799999999"/>
    <n v="0.100273973"/>
    <n v="0.31824032000000002"/>
    <n v="3.2049836999999998E-2"/>
    <n v="7.2543719000000007E-2"/>
    <n v="2.8840245E-2"/>
    <n v="1.8343704999999998E-2"/>
    <n v="1.1792557E-2"/>
  </r>
  <r>
    <x v="29"/>
    <x v="1"/>
    <n v="4.1533997000000003E-2"/>
    <n v="6.4565501999999997E-2"/>
    <n v="7.1097738999999993E-2"/>
    <n v="0.13870420899999999"/>
    <n v="0.105782162"/>
    <n v="0.31558410999999997"/>
    <n v="3.2031675000000003E-2"/>
    <n v="9.5239342000000005E-2"/>
    <n v="1.9011502999999999E-2"/>
    <n v="6.9124420000000004E-3"/>
    <n v="1.8759596E-2"/>
  </r>
  <r>
    <x v="30"/>
    <x v="14"/>
    <n v="3.6306807000000003E-2"/>
    <n v="7.9531471000000006E-2"/>
    <n v="6.2428856999999997E-2"/>
    <n v="0.13939589199999999"/>
    <n v="0.1220101"/>
    <n v="0.32383484899999998"/>
    <n v="4.1056772999999998E-2"/>
    <n v="7.5479224999999997E-2"/>
    <n v="2.5204196000000002E-2"/>
    <n v="1.3173735000000001E-2"/>
    <n v="1.8772036999999998E-2"/>
  </r>
  <r>
    <x v="31"/>
    <x v="1"/>
    <n v="6.0897461E-2"/>
    <n v="5.6045104999999998E-2"/>
    <n v="7.2050979000000001E-2"/>
    <n v="0.16589419899999999"/>
    <n v="9.8606701000000005E-2"/>
    <n v="0.336551879"/>
    <n v="2.1576176999999998E-2"/>
    <n v="0.10336960000000001"/>
    <n v="3.0218776999999999E-2"/>
    <n v="4.5492550000000003E-3"/>
    <n v="1.1837446999999999E-2"/>
  </r>
  <r>
    <x v="32"/>
    <x v="15"/>
    <n v="5.7471082E-2"/>
    <n v="6.6529103000000006E-2"/>
    <n v="6.5129474000000007E-2"/>
    <n v="0.143801387"/>
    <n v="0.10484795600000001"/>
    <n v="0.31377881700000004"/>
    <n v="3.7005892999999998E-2"/>
    <n v="0.10484072799999999"/>
    <n v="3.1528242999999997E-2"/>
    <n v="8.2741459999999996E-3"/>
    <n v="3.5947129999999998E-3"/>
  </r>
  <r>
    <x v="33"/>
    <x v="1"/>
    <n v="6.1856254999999999E-2"/>
    <n v="6.3111113999999996E-2"/>
    <n v="0.109308903"/>
    <n v="0.16019956199999999"/>
    <n v="0.11037364099999999"/>
    <n v="0.37988210599999994"/>
    <n v="3.1850477000000002E-2"/>
    <n v="5.6762777E-2"/>
    <n v="3.8423269000000003E-2"/>
    <n v="1.0444222E-2"/>
    <n v="0"/>
  </r>
  <r>
    <x v="34"/>
    <x v="1"/>
    <n v="7.2225354000000005E-2"/>
    <n v="3.2328482999999998E-2"/>
    <n v="8.2256590000000004E-2"/>
    <n v="0.218528484"/>
    <n v="0.10658704200000001"/>
    <n v="0.40737211600000001"/>
    <n v="3.6080175999999999E-2"/>
    <n v="0.10818810800000001"/>
    <n v="1.8243971000000001E-2"/>
    <n v="0"/>
    <n v="6.9779910000000002E-3"/>
  </r>
  <r>
    <x v="35"/>
    <x v="16"/>
    <n v="8.2772780000000008E-3"/>
    <n v="0.13412900899999999"/>
    <n v="5.8561344000000001E-2"/>
    <n v="0.17080216500000001"/>
    <n v="0.11506009"/>
    <n v="0.34442359900000002"/>
    <n v="3.7223698E-2"/>
    <n v="6.8553490999999994E-2"/>
    <n v="1.6613776E-2"/>
    <n v="9.9243630000000003E-3"/>
    <n v="5.4431189999999997E-3"/>
  </r>
  <r>
    <x v="36"/>
    <x v="1"/>
    <n v="4.7384898000000002E-2"/>
    <n v="5.0869510999999999E-2"/>
    <n v="3.8355867000000002E-2"/>
    <n v="0.15454126400000001"/>
    <n v="0.103958753"/>
    <n v="0.29685588400000001"/>
    <n v="3.8460036000000003E-2"/>
    <n v="9.8266320000000004E-2"/>
    <n v="3.1518282000000002E-2"/>
    <n v="2.3411878000000001E-2"/>
    <n v="1.3193229000000001E-2"/>
  </r>
  <r>
    <x v="37"/>
    <x v="1"/>
    <n v="4.0265702E-2"/>
    <n v="5.4436531000000003E-2"/>
    <n v="0.106036645"/>
    <n v="0.16698613800000001"/>
    <n v="0.103366526"/>
    <n v="0.37638930900000001"/>
    <n v="4.3136331E-2"/>
    <n v="3.1475954E-2"/>
    <n v="3.0043025000000001E-2"/>
    <n v="1.8259879E-2"/>
    <n v="3.1421011999999998E-2"/>
  </r>
  <r>
    <x v="38"/>
    <x v="17"/>
    <n v="2.3675089E-2"/>
    <n v="7.0025619999999997E-2"/>
    <n v="6.2210588999999997E-2"/>
    <n v="0.118187587"/>
    <n v="0.100402753"/>
    <n v="0.28080092899999998"/>
    <n v="3.8202554E-2"/>
    <n v="7.2463279000000005E-2"/>
    <n v="2.7466330000000001E-2"/>
    <n v="4.4582825999999999E-2"/>
    <n v="1.7930103999999999E-2"/>
  </r>
  <r>
    <x v="39"/>
    <x v="18"/>
    <n v="4.1525595999999998E-2"/>
    <n v="0.10090890800000001"/>
    <n v="1.7715615000000001E-2"/>
    <n v="0.134967325"/>
    <n v="0.11299904299999999"/>
    <n v="0.26568198300000001"/>
    <n v="4.8117367000000001E-2"/>
    <n v="6.4511284000000002E-2"/>
    <n v="1.5412643E-2"/>
    <n v="7.3527890000000002E-3"/>
    <n v="1.5374084E-2"/>
  </r>
  <r>
    <x v="40"/>
    <x v="1"/>
    <n v="5.2953017999999998E-2"/>
    <n v="6.5713470999999996E-2"/>
    <n v="5.9900005999999999E-2"/>
    <n v="0.145213546"/>
    <n v="9.6478693000000004E-2"/>
    <n v="0.30159224500000004"/>
    <n v="3.7212646000000002E-2"/>
    <n v="9.6522061000000006E-2"/>
    <n v="3.2066048E-2"/>
    <n v="3.4555480999999999E-2"/>
    <n v="4.2700760000000003E-3"/>
  </r>
  <r>
    <x v="41"/>
    <x v="19"/>
    <n v="2.7649417999999999E-2"/>
    <n v="9.0700152000000006E-2"/>
    <n v="6.0988914999999998E-2"/>
    <n v="9.6911011000000005E-2"/>
    <n v="0.11041034800000001"/>
    <n v="0.26831027400000002"/>
    <n v="4.2034214E-2"/>
    <n v="7.0018208999999998E-2"/>
    <n v="1.8869581E-2"/>
    <n v="1.1079718000000001E-2"/>
    <n v="1.5610905E-2"/>
  </r>
  <r>
    <x v="42"/>
    <x v="1"/>
    <n v="4.6539992000000002E-2"/>
    <n v="3.3996828E-2"/>
    <n v="5.9975245000000003E-2"/>
    <n v="0.16839782"/>
    <n v="7.3984387999999998E-2"/>
    <n v="0.302357453"/>
    <n v="4.6784705000000003E-2"/>
    <n v="8.5921266999999996E-2"/>
    <n v="2.4995094999999998E-2"/>
    <n v="2.1527937E-2"/>
    <n v="8.7512600000000003E-3"/>
  </r>
  <r>
    <x v="43"/>
    <x v="1"/>
    <n v="5.7530247999999999E-2"/>
    <n v="5.5048047000000003E-2"/>
    <n v="5.8048522999999998E-2"/>
    <n v="0.21757797700000001"/>
    <n v="8.0268931000000002E-2"/>
    <n v="0.35589543099999998"/>
    <n v="2.8505566999999999E-2"/>
    <n v="1.9916634999999999E-2"/>
    <n v="5.3836331000000001E-2"/>
    <n v="7.3253770000000001E-3"/>
    <n v="3.4216030000000001E-3"/>
  </r>
  <r>
    <x v="44"/>
    <x v="20"/>
    <n v="2.7891314E-2"/>
    <n v="9.1234854000000004E-2"/>
    <n v="2.7010613999999999E-2"/>
    <n v="0.14614465700000001"/>
    <n v="0.10437516400000001"/>
    <n v="0.27753043500000002"/>
    <n v="4.6645436999999998E-2"/>
    <n v="5.2637984999999998E-2"/>
    <n v="3.9630057000000003E-2"/>
    <n v="3.9725328999999997E-2"/>
    <n v="2.2944943999999998E-2"/>
  </r>
  <r>
    <x v="45"/>
    <x v="1"/>
    <n v="5.0221061999999997E-2"/>
    <n v="5.1785266000000003E-2"/>
    <n v="7.4720313999999996E-2"/>
    <n v="0.20829757099999999"/>
    <n v="9.8058531000000004E-2"/>
    <n v="0.38107641599999997"/>
    <n v="3.9612848999999999E-2"/>
    <n v="7.0734514999999998E-2"/>
    <n v="1.5653336E-2"/>
    <n v="2.0639129999999999E-2"/>
    <n v="7.2378210000000002E-3"/>
  </r>
  <r>
    <x v="46"/>
    <x v="21"/>
    <n v="5.0817901999999998E-2"/>
    <n v="7.4290812999999997E-2"/>
    <n v="5.1381199000000002E-2"/>
    <n v="0.15404563199999999"/>
    <n v="0.119551872"/>
    <n v="0.32497870299999998"/>
    <n v="4.8415498000000001E-2"/>
    <n v="6.2561940999999996E-2"/>
    <n v="3.3064501000000003E-2"/>
    <n v="3.3805880000000003E-2"/>
    <n v="2.5237490000000001E-2"/>
  </r>
  <r>
    <x v="47"/>
    <x v="1"/>
    <n v="4.5034475999999997E-2"/>
    <n v="4.5019811999999999E-2"/>
    <n v="7.8560226999999996E-2"/>
    <n v="0.171307547"/>
    <n v="7.5402052999999997E-2"/>
    <n v="0.32526982699999996"/>
    <n v="3.4755775000000003E-2"/>
    <n v="8.8637014E-2"/>
    <n v="2.5787403E-2"/>
    <n v="2.5118524999999999E-2"/>
    <n v="1.5178595E-2"/>
  </r>
  <r>
    <x v="48"/>
    <x v="22"/>
    <n v="3.8867619999999999E-2"/>
    <n v="9.0268982999999997E-2"/>
    <n v="5.6355244999999998E-2"/>
    <n v="0.169110657"/>
    <n v="0.10176424100000001"/>
    <n v="0.32723014299999997"/>
    <n v="3.8599969999999997E-2"/>
    <n v="9.5698252999999997E-2"/>
    <n v="7.6951650000000003E-3"/>
    <n v="2.1684246000000001E-2"/>
    <n v="6.0266479999999999E-3"/>
  </r>
  <r>
    <x v="49"/>
    <x v="23"/>
    <n v="3.6840158999999997E-2"/>
    <n v="5.9222551999999998E-2"/>
    <n v="0.12567118499999999"/>
    <n v="0.16531190300000001"/>
    <n v="0.119436523"/>
    <n v="0.41041961100000002"/>
    <n v="3.0819518000000001E-2"/>
    <n v="8.0282021999999995E-2"/>
    <n v="9.4398169999999997E-3"/>
    <n v="7.2618930000000002E-3"/>
    <n v="1.3389483000000001E-2"/>
  </r>
  <r>
    <x v="50"/>
    <x v="24"/>
    <n v="2.0007692000000001E-2"/>
    <n v="0.10491798300000001"/>
    <n v="5.5257253999999999E-2"/>
    <n v="0.132001445"/>
    <n v="0.111259816"/>
    <n v="0.29851851499999998"/>
    <n v="3.0406677999999999E-2"/>
    <n v="8.7492143999999994E-2"/>
    <n v="3.0489456000000002E-2"/>
    <n v="1.4374257E-2"/>
    <n v="6.7936239999999998E-3"/>
  </r>
  <r>
    <x v="51"/>
    <x v="1"/>
    <n v="3.2469663000000003E-2"/>
    <n v="5.2590918E-2"/>
    <n v="7.4261297000000004E-2"/>
    <n v="0.15211301699999999"/>
    <n v="9.9485086E-2"/>
    <n v="0.32585940000000002"/>
    <n v="3.4062463000000001E-2"/>
    <n v="8.5669180999999997E-2"/>
    <n v="2.0502030000000001E-2"/>
    <n v="1.9709332999999999E-2"/>
    <n v="1.9189791000000001E-2"/>
  </r>
  <r>
    <x v="52"/>
    <x v="1"/>
    <n v="7.6022000000000006E-2"/>
    <n v="4.6980458000000003E-2"/>
    <n v="7.2089997000000003E-2"/>
    <n v="0.221175767"/>
    <n v="9.4983739999999997E-2"/>
    <n v="0.38824950399999997"/>
    <n v="5.2997562999999998E-2"/>
    <n v="6.3760673000000004E-2"/>
    <n v="3.0328838E-2"/>
    <n v="1.7573110999999999E-2"/>
    <n v="5.4496989999999997E-3"/>
  </r>
  <r>
    <x v="53"/>
    <x v="25"/>
    <n v="5.4014237999999999E-2"/>
    <n v="2.122839E-2"/>
    <n v="4.7591757999999998E-2"/>
    <n v="0.166266371"/>
    <n v="9.7833797E-2"/>
    <n v="0.31169192600000001"/>
    <n v="3.0894324000000001E-2"/>
    <n v="6.0893777000000003E-2"/>
    <n v="3.2231217E-2"/>
    <n v="2.0598379E-2"/>
    <n v="2.3314647000000001E-2"/>
  </r>
  <r>
    <x v="54"/>
    <x v="26"/>
    <n v="3.5587381000000001E-2"/>
    <n v="6.3744952999999993E-2"/>
    <n v="0.104105007"/>
    <n v="0.14799032600000001"/>
    <n v="9.4964440999999997E-2"/>
    <n v="0.34705977399999999"/>
    <n v="3.5828809000000003E-2"/>
    <n v="4.5703294999999998E-2"/>
    <n v="2.2955067999999999E-2"/>
    <n v="1.3073312E-2"/>
    <n v="1.4181193E-2"/>
  </r>
  <r>
    <x v="55"/>
    <x v="27"/>
    <n v="3.1583864000000003E-2"/>
    <n v="6.3077547999999997E-2"/>
    <n v="7.1203164999999999E-2"/>
    <n v="0.198795741"/>
    <n v="6.5986481E-2"/>
    <n v="0.33598538699999997"/>
    <n v="2.8522345000000001E-2"/>
    <n v="7.1681024999999995E-2"/>
    <n v="1.5262183E-2"/>
    <n v="1.3800217E-2"/>
    <n v="7.4855099999999999E-3"/>
  </r>
  <r>
    <x v="56"/>
    <x v="28"/>
    <n v="3.0243711E-2"/>
    <n v="7.8630487999999998E-2"/>
    <n v="8.0551574000000001E-2"/>
    <n v="0.131203336"/>
    <n v="9.9070541999999998E-2"/>
    <n v="0.310825452"/>
    <n v="3.5439472E-2"/>
    <n v="5.3188733000000002E-2"/>
    <n v="2.7888666999999999E-2"/>
    <n v="5.2935854999999997E-2"/>
    <n v="1.4847038E-2"/>
  </r>
  <r>
    <x v="57"/>
    <x v="1"/>
    <n v="6.5248750999999994E-2"/>
    <n v="5.6850637000000002E-2"/>
    <n v="9.8132810000000001E-2"/>
    <n v="0.17020076200000001"/>
    <n v="0.100263272"/>
    <n v="0.36859684400000003"/>
    <n v="3.1298279999999998E-2"/>
    <n v="7.6586882999999994E-2"/>
    <n v="1.9517597000000001E-2"/>
    <n v="3.8721762E-2"/>
    <n v="1.6919877999999999E-2"/>
  </r>
  <r>
    <x v="58"/>
    <x v="1"/>
    <n v="6.3880999999999993E-2"/>
    <n v="5.7239337000000001E-2"/>
    <n v="5.4758262000000002E-2"/>
    <n v="0.154996564"/>
    <n v="8.9413635000000005E-2"/>
    <n v="0.299168461"/>
    <n v="3.3838679000000003E-2"/>
    <n v="8.6359183000000006E-2"/>
    <n v="3.1943920000000001E-2"/>
    <n v="3.8172060000000001E-2"/>
    <n v="8.0632810000000003E-3"/>
  </r>
  <r>
    <x v="59"/>
    <x v="29"/>
    <n v="4.5402737999999998E-2"/>
    <n v="5.5026631999999999E-2"/>
    <n v="6.2646393999999994E-2"/>
    <n v="0.18538486200000001"/>
    <n v="7.7329547999999998E-2"/>
    <n v="0.325360804"/>
    <n v="1.7728082999999999E-2"/>
    <n v="7.0987112000000005E-2"/>
    <n v="3.0412092000000002E-2"/>
    <n v="0"/>
    <n v="4.6164589999999998E-3"/>
  </r>
  <r>
    <x v="60"/>
    <x v="1"/>
    <n v="7.0975191000000007E-2"/>
    <n v="3.3024163000000002E-2"/>
    <n v="0.105409057"/>
    <n v="0.196441386"/>
    <n v="6.5470859000000006E-2"/>
    <n v="0.36732130199999996"/>
    <n v="2.8668097E-2"/>
    <n v="8.9568439E-2"/>
    <n v="1.0273910000000001E-2"/>
    <n v="1.5194894E-2"/>
    <n v="1.5395607E-2"/>
  </r>
  <r>
    <x v="61"/>
    <x v="30"/>
    <n v="2.9866462999999999E-2"/>
    <n v="5.4030333E-2"/>
    <n v="8.4942945000000006E-2"/>
    <n v="0.121140175"/>
    <n v="0.10210591400000001"/>
    <n v="0.30818903400000003"/>
    <n v="3.603058E-2"/>
    <n v="8.8705513E-2"/>
    <n v="2.0512125999999999E-2"/>
    <n v="2.1402001E-2"/>
    <n v="1.9515685000000001E-2"/>
  </r>
  <r>
    <x v="62"/>
    <x v="31"/>
    <n v="3.6978442E-2"/>
    <n v="5.2781732999999997E-2"/>
    <n v="9.5857482999999993E-2"/>
    <n v="0.18975805700000001"/>
    <n v="9.5679820999999998E-2"/>
    <n v="0.381295361"/>
    <n v="3.4919033000000002E-2"/>
    <n v="6.5969044000000004E-2"/>
    <n v="2.7867359000000001E-2"/>
    <n v="1.2984021E-2"/>
    <n v="1.9704038E-2"/>
  </r>
  <r>
    <x v="63"/>
    <x v="32"/>
    <n v="4.8351473999999998E-2"/>
    <n v="9.6180498000000003E-2"/>
    <n v="5.0013613999999998E-2"/>
    <n v="0.18851891000000001"/>
    <n v="9.7141607000000005E-2"/>
    <n v="0.33567413100000004"/>
    <n v="3.5984228E-2"/>
    <n v="8.4621068999999993E-2"/>
    <n v="3.2511890000000002E-2"/>
    <n v="2.8283173000000002E-2"/>
    <n v="0"/>
  </r>
  <r>
    <x v="64"/>
    <x v="33"/>
    <n v="6.2920865000000006E-2"/>
    <n v="7.9868018999999998E-2"/>
    <n v="5.5408216000000003E-2"/>
    <n v="0.16908056399999999"/>
    <n v="9.5051864999999999E-2"/>
    <n v="0.31954064500000001"/>
    <n v="2.6986559E-2"/>
    <n v="8.7437444000000003E-2"/>
    <n v="3.1236453000000001E-2"/>
    <n v="1.9121539E-2"/>
    <n v="1.8856253E-2"/>
  </r>
  <r>
    <x v="65"/>
    <x v="34"/>
    <n v="6.8892642000000004E-2"/>
    <n v="3.6767924E-2"/>
    <n v="7.0554144999999999E-2"/>
    <n v="0.21571082599999999"/>
    <n v="0.11942565199999999"/>
    <n v="0.40569062299999997"/>
    <n v="4.0546813000000001E-2"/>
    <n v="5.3197042999999999E-2"/>
    <n v="5.6374759999999998E-3"/>
    <n v="4.1510021000000001E-2"/>
    <n v="8.0027540000000008E-3"/>
  </r>
  <r>
    <x v="66"/>
    <x v="1"/>
    <n v="6.0834903000000003E-2"/>
    <n v="5.3426407000000002E-2"/>
    <n v="5.0142137000000003E-2"/>
    <n v="0.18454932900000001"/>
    <n v="8.5838614999999993E-2"/>
    <n v="0.32053008100000002"/>
    <n v="3.6712120000000001E-2"/>
    <n v="8.1884060999999994E-2"/>
    <n v="4.2990773000000003E-2"/>
    <n v="7.900097E-3"/>
    <n v="3.4169563E-2"/>
  </r>
  <r>
    <x v="67"/>
    <x v="35"/>
    <n v="2.1512403999999999E-2"/>
    <n v="8.3437788999999998E-2"/>
    <n v="5.2942754000000002E-2"/>
    <n v="0.15564082700000001"/>
    <n v="9.1472337000000001E-2"/>
    <n v="0.30005591800000003"/>
    <n v="3.3556500000000003E-2"/>
    <n v="6.1512814999999998E-2"/>
    <n v="3.3852474E-2"/>
    <n v="3.7305524999999999E-2"/>
    <n v="1.5969002E-2"/>
  </r>
  <r>
    <x v="68"/>
    <x v="1"/>
    <n v="5.7879798000000003E-2"/>
    <n v="4.6159967000000003E-2"/>
    <n v="4.5680495000000002E-2"/>
    <n v="0.16596186099999999"/>
    <n v="0.116716399"/>
    <n v="0.328358755"/>
    <n v="4.8023120000000002E-2"/>
    <n v="6.2344745E-2"/>
    <n v="3.1081263000000001E-2"/>
    <n v="1.8273981000000002E-2"/>
    <n v="1.4216507E-2"/>
  </r>
  <r>
    <x v="69"/>
    <x v="36"/>
    <n v="4.3615094E-2"/>
    <n v="6.8376395000000006E-2"/>
    <n v="8.5722870000000007E-2"/>
    <n v="0.14615658000000001"/>
    <n v="0.101465123"/>
    <n v="0.33334457300000003"/>
    <n v="3.5086666000000002E-2"/>
    <n v="8.4019827000000005E-2"/>
    <n v="2.2180425E-2"/>
    <n v="2.6834895000000001E-2"/>
    <n v="3.8416240000000001E-3"/>
  </r>
  <r>
    <x v="70"/>
    <x v="1"/>
    <n v="7.0832282999999996E-2"/>
    <n v="6.4073673999999997E-2"/>
    <n v="0.10285275300000001"/>
    <n v="0.15083880699999999"/>
    <n v="9.3271559000000004E-2"/>
    <n v="0.34696311899999999"/>
    <n v="3.4327115999999998E-2"/>
    <n v="6.1062784000000002E-2"/>
    <n v="3.8864718999999999E-2"/>
    <n v="2.4837084999999998E-2"/>
    <n v="0"/>
  </r>
  <r>
    <x v="71"/>
    <x v="1"/>
    <n v="4.6431739E-2"/>
    <n v="6.7190685999999999E-2"/>
    <n v="0.109636831"/>
    <n v="0.172031031"/>
    <n v="0.10156834100000001"/>
    <n v="0.383236203"/>
    <n v="3.0469639E-2"/>
    <n v="9.3731262999999995E-2"/>
    <n v="1.4822124000000001E-2"/>
    <n v="2.0638739999999999E-2"/>
    <n v="1.1665137000000001E-2"/>
  </r>
  <r>
    <x v="72"/>
    <x v="37"/>
    <n v="6.4577864999999998E-2"/>
    <n v="0.113228365"/>
    <n v="2.9714955000000001E-2"/>
    <n v="0.138011051"/>
    <n v="0.109354485"/>
    <n v="0.27708049099999998"/>
    <n v="3.6456785999999998E-2"/>
    <n v="8.1707484999999996E-2"/>
    <n v="2.0006156000000001E-2"/>
    <n v="8.2692189999999995E-3"/>
    <n v="1.5392553999999999E-2"/>
  </r>
  <r>
    <x v="73"/>
    <x v="1"/>
    <n v="5.7714149999999999E-2"/>
    <n v="4.5746093000000002E-2"/>
    <n v="4.7258375999999998E-2"/>
    <n v="0.15952904200000001"/>
    <n v="0.114031863"/>
    <n v="0.32081928100000001"/>
    <n v="4.2235161E-2"/>
    <n v="7.1815704999999994E-2"/>
    <n v="1.4585689000000001E-2"/>
    <n v="1.8540437999999999E-2"/>
    <n v="1.2068107E-2"/>
  </r>
  <r>
    <x v="74"/>
    <x v="38"/>
    <n v="4.7696211000000002E-2"/>
    <n v="9.6572345000000004E-2"/>
    <n v="0.106142445"/>
    <n v="0.118385502"/>
    <n v="0.11962331499999999"/>
    <n v="0.34415126200000001"/>
    <n v="3.2940015000000003E-2"/>
    <n v="6.7189869999999999E-2"/>
    <n v="1.8923730999999999E-2"/>
    <n v="2.4727089000000001E-2"/>
    <n v="1.346912E-3"/>
  </r>
  <r>
    <x v="75"/>
    <x v="39"/>
    <n v="3.1182186000000001E-2"/>
    <n v="5.2159485999999998E-2"/>
    <n v="5.5191616999999998E-2"/>
    <n v="0.15289620000000001"/>
    <n v="9.8182463999999997E-2"/>
    <n v="0.30627028099999998"/>
    <n v="3.7542361000000003E-2"/>
    <n v="8.789516E-2"/>
    <n v="1.7732133000000001E-2"/>
    <n v="5.5472539999999997E-3"/>
    <n v="1.8506723999999999E-2"/>
  </r>
  <r>
    <x v="76"/>
    <x v="40"/>
    <n v="4.9558504000000003E-2"/>
    <n v="3.2321109000000001E-2"/>
    <n v="0.11153292099999999"/>
    <n v="0.13984883400000001"/>
    <n v="8.4597011E-2"/>
    <n v="0.33597876599999998"/>
    <n v="5.9127047000000002E-2"/>
    <n v="8.2766786999999994E-2"/>
    <n v="4.1703714000000003E-2"/>
    <n v="1.0813701E-2"/>
    <n v="2.7070783000000001E-2"/>
  </r>
  <r>
    <x v="77"/>
    <x v="1"/>
    <n v="5.6084741E-2"/>
    <n v="7.2737971999999998E-2"/>
    <n v="9.1436880999999998E-2"/>
    <n v="0.14226625800000001"/>
    <n v="9.1187208000000006E-2"/>
    <n v="0.32489034700000002"/>
    <n v="3.3137512000000001E-2"/>
    <n v="8.1004936999999999E-2"/>
    <n v="1.6251046000000002E-2"/>
    <n v="2.5467935000000001E-2"/>
    <n v="1.5480209E-2"/>
  </r>
  <r>
    <x v="78"/>
    <x v="1"/>
    <n v="3.9525853999999999E-2"/>
    <n v="7.6068917999999999E-2"/>
    <n v="6.6622654000000003E-2"/>
    <n v="0.145320583"/>
    <n v="9.0699500000000002E-2"/>
    <n v="0.302642737"/>
    <n v="3.5016792999999997E-2"/>
    <n v="8.5262823000000001E-2"/>
    <n v="2.6548833000000001E-2"/>
    <n v="2.0119699000000001E-2"/>
    <n v="1.3768005999999999E-2"/>
  </r>
  <r>
    <x v="79"/>
    <x v="1"/>
    <n v="5.5357492000000001E-2"/>
    <n v="7.6921213000000002E-2"/>
    <n v="7.6668447000000001E-2"/>
    <n v="0.12566134100000001"/>
    <n v="0.11708552899999999"/>
    <n v="0.31941531700000003"/>
    <n v="4.2206476E-2"/>
    <n v="7.3489618000000007E-2"/>
    <n v="8.5925919999999996E-3"/>
    <n v="1.3870214000000001E-2"/>
    <n v="6.7413719999999998E-3"/>
  </r>
  <r>
    <x v="80"/>
    <x v="1"/>
    <n v="6.6193550000000004E-2"/>
    <n v="6.5020497999999996E-2"/>
    <n v="8.4244806000000005E-2"/>
    <n v="0.136883274"/>
    <n v="8.0750412999999993E-2"/>
    <n v="0.30187849300000003"/>
    <n v="2.6576348999999999E-2"/>
    <n v="7.6734048999999999E-2"/>
    <n v="2.3726608E-2"/>
    <n v="1.5747513000000001E-2"/>
    <n v="1.0329270000000001E-3"/>
  </r>
  <r>
    <x v="81"/>
    <x v="41"/>
    <n v="4.7305074000000003E-2"/>
    <n v="7.0324600000000001E-2"/>
    <n v="8.1412024E-2"/>
    <n v="0.171653841"/>
    <n v="7.6727326999999998E-2"/>
    <n v="0.32979319200000001"/>
    <n v="2.8604924E-2"/>
    <n v="4.2761349999999997E-2"/>
    <n v="2.4309376000000001E-2"/>
    <n v="1.0762819999999999E-2"/>
    <n v="5.0014830000000001E-3"/>
  </r>
  <r>
    <x v="82"/>
    <x v="42"/>
    <n v="3.4127035E-2"/>
    <n v="3.5960012E-2"/>
    <n v="0.13085952200000001"/>
    <n v="0.15730090799999999"/>
    <n v="0.11491205"/>
    <n v="0.40307248000000001"/>
    <n v="3.4418391E-2"/>
    <n v="5.1079232000000002E-2"/>
    <n v="2.1077564E-2"/>
    <n v="1.1146717E-2"/>
    <n v="7.646145E-3"/>
  </r>
  <r>
    <x v="83"/>
    <x v="43"/>
    <n v="6.0790200000000003E-2"/>
    <n v="4.5466263999999999E-2"/>
    <n v="0.10197413800000001"/>
    <n v="0.159872387"/>
    <n v="8.1502176999999995E-2"/>
    <n v="0.34334870200000001"/>
    <n v="3.8437078999999999E-2"/>
    <n v="9.2586716999999999E-2"/>
    <n v="2.4403642999999999E-2"/>
    <n v="1.0576291E-2"/>
    <n v="1.2618917E-2"/>
  </r>
  <r>
    <x v="84"/>
    <x v="44"/>
    <n v="8.5001251999999999E-2"/>
    <n v="3.7316304000000002E-2"/>
    <n v="8.1947078000000007E-2"/>
    <n v="0.15289376299999999"/>
    <n v="0.117917328"/>
    <n v="0.35275816900000001"/>
    <n v="4.7262305999999997E-2"/>
    <n v="4.8778717999999999E-2"/>
    <n v="2.6158694E-2"/>
    <n v="3.2743812999999997E-2"/>
    <n v="1.7371014000000001E-2"/>
  </r>
  <r>
    <x v="85"/>
    <x v="1"/>
    <n v="4.8384793000000002E-2"/>
    <n v="7.2370017999999994E-2"/>
    <n v="7.3124725000000002E-2"/>
    <n v="0.145700406"/>
    <n v="9.1650545999999999E-2"/>
    <n v="0.31047567700000001"/>
    <n v="3.3516790999999997E-2"/>
    <n v="8.7495853999999998E-2"/>
    <n v="2.7033339E-2"/>
    <n v="3.5791344000000003E-2"/>
    <n v="1.5274764E-2"/>
  </r>
  <r>
    <x v="86"/>
    <x v="1"/>
    <n v="7.8780661000000002E-2"/>
    <n v="4.7671330999999997E-2"/>
    <n v="6.4531754999999996E-2"/>
    <n v="0.171755994"/>
    <n v="0.105504427"/>
    <n v="0.341792176"/>
    <n v="4.0181055E-2"/>
    <n v="8.8028451999999993E-2"/>
    <n v="1.5219442E-2"/>
    <n v="4.5165100000000002E-4"/>
    <n v="2.390255E-3"/>
  </r>
  <r>
    <x v="87"/>
    <x v="1"/>
    <n v="5.5763602000000002E-2"/>
    <n v="6.1968609000000001E-2"/>
    <n v="9.2822996000000005E-2"/>
    <n v="0.137933046"/>
    <n v="0.10308911900000001"/>
    <n v="0.333845161"/>
    <n v="3.6303858000000001E-2"/>
    <n v="6.7622109999999999E-2"/>
    <n v="1.0225857E-2"/>
    <n v="1.397929E-2"/>
    <n v="1.4146064999999999E-2"/>
  </r>
  <r>
    <x v="88"/>
    <x v="1"/>
    <n v="3.4092132999999997E-2"/>
    <n v="9.0857664000000005E-2"/>
    <n v="7.3785856999999996E-2"/>
    <n v="0.14111679699999999"/>
    <n v="0.11225693"/>
    <n v="0.327159584"/>
    <n v="4.8135056000000002E-2"/>
    <n v="5.2093296999999997E-2"/>
    <n v="3.5937362E-2"/>
    <n v="2.1531917000000001E-2"/>
    <n v="1.9703556000000001E-2"/>
  </r>
  <r>
    <x v="89"/>
    <x v="1"/>
    <n v="4.9764528000000002E-2"/>
    <n v="5.2998581000000003E-2"/>
    <n v="8.6703325999999997E-2"/>
    <n v="0.161762726"/>
    <n v="0.10263272700000001"/>
    <n v="0.35109877899999997"/>
    <n v="3.4070039000000003E-2"/>
    <n v="7.2552293000000004E-2"/>
    <n v="2.6132576000000001E-2"/>
    <n v="1.7046276999999999E-2"/>
    <n v="5.8242980000000003E-3"/>
  </r>
  <r>
    <x v="90"/>
    <x v="1"/>
    <n v="5.8004527E-2"/>
    <n v="8.0159218000000004E-2"/>
    <n v="0.12185101"/>
    <n v="0.13753879599999999"/>
    <n v="8.0718313E-2"/>
    <n v="0.34010811899999999"/>
    <n v="3.7403916000000002E-2"/>
    <n v="3.3601641000000002E-2"/>
    <n v="1.8864055000000001E-2"/>
    <n v="2.2124301999999998E-2"/>
    <n v="8.4629799999999999E-4"/>
  </r>
  <r>
    <x v="91"/>
    <x v="45"/>
    <n v="4.2120668999999999E-2"/>
    <n v="7.2551774999999999E-2"/>
    <n v="5.3017265000000001E-2"/>
    <n v="0.145693396"/>
    <n v="0.112021367"/>
    <n v="0.31073202799999999"/>
    <n v="3.5434609999999998E-2"/>
    <n v="9.6273117000000005E-2"/>
    <n v="2.1370421000000001E-2"/>
    <n v="1.4845812999999999E-2"/>
    <n v="1.5897258000000001E-2"/>
  </r>
  <r>
    <x v="92"/>
    <x v="1"/>
    <n v="3.6620857999999999E-2"/>
    <n v="5.9495146999999998E-2"/>
    <n v="6.7855597000000004E-2"/>
    <n v="0.169699614"/>
    <n v="9.0422154000000005E-2"/>
    <n v="0.32797736499999997"/>
    <n v="3.4088756999999997E-2"/>
    <n v="7.9691766999999997E-2"/>
    <n v="2.6133801000000002E-2"/>
    <n v="4.1454584000000003E-2"/>
    <n v="1.4206908000000001E-2"/>
  </r>
  <r>
    <x v="93"/>
    <x v="46"/>
    <n v="5.5983291999999997E-2"/>
    <n v="6.9560614000000007E-2"/>
    <n v="4.8845912999999998E-2"/>
    <n v="0.15686322699999999"/>
    <n v="0.115016941"/>
    <n v="0.320726081"/>
    <n v="2.8122241999999999E-2"/>
    <n v="8.7149007000000001E-2"/>
    <n v="2.2258015999999999E-2"/>
    <n v="9.1872129999999996E-3"/>
    <n v="2.0666624000000001E-2"/>
  </r>
  <r>
    <x v="94"/>
    <x v="47"/>
    <n v="3.3314020999999999E-2"/>
    <n v="0.150686403"/>
    <n v="3.8126030999999998E-2"/>
    <n v="8.9024489999999998E-2"/>
    <n v="0.14760793699999999"/>
    <n v="0.27475845799999998"/>
    <n v="3.1055029000000001E-2"/>
    <n v="4.8197233999999999E-2"/>
    <n v="2.5415123000000001E-2"/>
    <n v="5.1959889999999998E-3"/>
    <n v="0"/>
  </r>
  <r>
    <x v="95"/>
    <x v="1"/>
    <n v="7.1670050999999999E-2"/>
    <n v="2.7227529E-2"/>
    <n v="6.8617123000000002E-2"/>
    <n v="0.15922567700000001"/>
    <n v="0.102074606"/>
    <n v="0.32991740600000002"/>
    <n v="4.2714060999999998E-2"/>
    <n v="8.6684762999999998E-2"/>
    <n v="2.2780023E-2"/>
    <n v="1.7329107999999999E-2"/>
    <n v="1.0279643E-2"/>
  </r>
  <r>
    <x v="96"/>
    <x v="1"/>
    <n v="7.0780088000000005E-2"/>
    <n v="3.1220261999999999E-2"/>
    <n v="6.0655150999999997E-2"/>
    <n v="0.1919189"/>
    <n v="8.102898E-2"/>
    <n v="0.33360303099999999"/>
    <n v="3.3853863999999997E-2"/>
    <n v="8.1191012000000007E-2"/>
    <n v="2.0284068999999998E-2"/>
    <n v="1.4641054000000001E-2"/>
    <n v="9.2266819999999999E-3"/>
  </r>
  <r>
    <x v="97"/>
    <x v="48"/>
    <n v="4.0844865000000001E-2"/>
    <n v="6.1301163999999998E-2"/>
    <n v="2.5834268000000001E-2"/>
    <n v="0.166278387"/>
    <n v="6.9598617000000002E-2"/>
    <n v="0.26171127199999999"/>
    <n v="2.6217139E-2"/>
    <n v="3.2490276999999998E-2"/>
    <n v="3.0825623E-2"/>
    <n v="3.0302275E-2"/>
    <n v="1.5254838E-2"/>
  </r>
  <r>
    <x v="98"/>
    <x v="1"/>
    <n v="6.3107979999999994E-2"/>
    <n v="5.2136354000000003E-2"/>
    <n v="4.6128810999999999E-2"/>
    <n v="0.15182264400000001"/>
    <n v="0.12598928700000001"/>
    <n v="0.323940742"/>
    <n v="3.3963451999999998E-2"/>
    <n v="9.7384039000000006E-2"/>
    <n v="1.6704085E-2"/>
    <n v="6.3542479999999998E-3"/>
    <n v="2.5794772000000001E-2"/>
  </r>
  <r>
    <x v="99"/>
    <x v="49"/>
    <n v="6.6851474999999994E-2"/>
    <n v="5.2004272999999997E-2"/>
    <n v="3.7697399999999999E-2"/>
    <n v="0.19350936799999999"/>
    <n v="0.13380354899999999"/>
    <n v="0.36501031699999997"/>
    <n v="5.660784E-2"/>
    <n v="0.10767711000000001"/>
    <n v="2.8143919999999999E-2"/>
    <n v="3.0819320000000001E-2"/>
    <n v="1.9449654E-2"/>
  </r>
  <r>
    <x v="100"/>
    <x v="50"/>
    <n v="5.1540463000000002E-2"/>
    <n v="0.10305120700000001"/>
    <n v="7.6987581999999999E-2"/>
    <n v="0.10357298700000001"/>
    <n v="0.120594329"/>
    <n v="0.301154898"/>
    <n v="3.506194E-2"/>
    <n v="7.1316708000000006E-2"/>
    <n v="3.7311375000000001E-2"/>
    <n v="2.0548879999999999E-2"/>
    <n v="1.1848687E-2"/>
  </r>
  <r>
    <x v="101"/>
    <x v="51"/>
    <n v="4.2083890999999998E-2"/>
    <n v="3.2322262999999997E-2"/>
    <n v="6.2058264000000002E-2"/>
    <n v="0.20970443499999999"/>
    <n v="7.1361961000000002E-2"/>
    <n v="0.34312465999999997"/>
    <n v="3.8653324000000003E-2"/>
    <n v="9.7966224000000005E-2"/>
    <n v="4.5338611000000001E-2"/>
    <n v="1.8842859E-2"/>
    <n v="3.4639679E-2"/>
  </r>
  <r>
    <x v="102"/>
    <x v="52"/>
    <n v="3.9526657999999999E-2"/>
    <n v="6.2114032999999999E-2"/>
    <n v="4.7578101999999997E-2"/>
    <n v="0.18376105000000001"/>
    <n v="9.4209521000000004E-2"/>
    <n v="0.32554867300000001"/>
    <n v="3.5693874E-2"/>
    <n v="8.4505649000000002E-2"/>
    <n v="2.9607310000000001E-2"/>
    <n v="1.1615119E-2"/>
    <n v="2.3106036999999999E-2"/>
  </r>
  <r>
    <x v="103"/>
    <x v="53"/>
    <n v="4.5631049999999999E-2"/>
    <n v="9.5651132E-2"/>
    <n v="0.10429321699999999"/>
    <n v="0.114369506"/>
    <n v="0.15290500900000001"/>
    <n v="0.37156773200000004"/>
    <n v="5.0170645E-2"/>
    <n v="5.3710018999999998E-2"/>
    <n v="1.3573757000000001E-2"/>
    <n v="1.044915E-3"/>
    <n v="4.446925E-3"/>
  </r>
  <r>
    <x v="104"/>
    <x v="54"/>
    <n v="4.5539560999999999E-2"/>
    <n v="5.6229369000000001E-2"/>
    <n v="9.1059059999999997E-2"/>
    <n v="0.169260048"/>
    <n v="8.4390866999999994E-2"/>
    <n v="0.344709975"/>
    <n v="4.1464992999999999E-2"/>
    <n v="4.9687535999999997E-2"/>
    <n v="1.5134962E-2"/>
    <n v="1.548476E-2"/>
    <n v="1.0136957E-2"/>
  </r>
  <r>
    <x v="105"/>
    <x v="1"/>
    <n v="4.1446102999999998E-2"/>
    <n v="6.709975E-2"/>
    <n v="6.6060733999999996E-2"/>
    <n v="0.15955449799999999"/>
    <n v="9.3181106999999999E-2"/>
    <n v="0.31879633899999998"/>
    <n v="2.7738631999999999E-2"/>
    <n v="0.100687077"/>
    <n v="2.4926937999999999E-2"/>
    <n v="1.8497863E-2"/>
    <n v="1.1520053000000001E-2"/>
  </r>
  <r>
    <x v="106"/>
    <x v="55"/>
    <n v="3.0564674999999999E-2"/>
    <n v="6.6226249000000001E-2"/>
    <n v="6.6705515000000007E-2"/>
    <n v="0.17543826200000001"/>
    <n v="0.13468363799999999"/>
    <n v="0.376827415"/>
    <n v="3.2875614999999997E-2"/>
    <n v="8.6019336000000002E-2"/>
    <n v="1.9739085E-2"/>
    <n v="2.9419609999999999E-2"/>
    <n v="4.628475E-3"/>
  </r>
  <r>
    <x v="107"/>
    <x v="1"/>
    <n v="4.0386652000000002E-2"/>
    <n v="6.7167670999999998E-2"/>
    <n v="5.0543376000000001E-2"/>
    <n v="0.14626212099999999"/>
    <n v="9.9200413000000001E-2"/>
    <n v="0.29600590999999998"/>
    <n v="3.0631728E-2"/>
    <n v="9.8266828000000001E-2"/>
    <n v="2.2421640999999999E-2"/>
    <n v="3.0489224999999998E-2"/>
    <n v="1.9839847000000001E-2"/>
  </r>
  <r>
    <x v="108"/>
    <x v="1"/>
    <n v="5.6345185999999998E-2"/>
    <n v="3.4379131E-2"/>
    <n v="4.5637406999999998E-2"/>
    <n v="0.17369857399999999"/>
    <n v="0.10149233000000001"/>
    <n v="0.32082831099999998"/>
    <n v="5.4064848999999998E-2"/>
    <n v="9.4780708000000005E-2"/>
    <n v="2.884283E-2"/>
    <n v="1.0845146E-2"/>
    <n v="2.0241015000000001E-2"/>
  </r>
  <r>
    <x v="109"/>
    <x v="1"/>
    <n v="5.1446184999999998E-2"/>
    <n v="7.2320995999999999E-2"/>
    <n v="7.5492023000000005E-2"/>
    <n v="0.168013834"/>
    <n v="9.3841872000000007E-2"/>
    <n v="0.33734772899999999"/>
    <n v="3.2896146000000001E-2"/>
    <n v="6.9428487999999997E-2"/>
    <n v="2.3380128999999999E-2"/>
    <n v="2.3792977E-2"/>
    <n v="1.5505372E-2"/>
  </r>
  <r>
    <x v="110"/>
    <x v="56"/>
    <n v="6.1982906999999997E-2"/>
    <n v="2.8902181999999998E-2"/>
    <n v="7.0348865999999996E-2"/>
    <n v="0.13833414299999999"/>
    <n v="9.3230764999999993E-2"/>
    <n v="0.30191377399999997"/>
    <n v="5.1865886E-2"/>
    <n v="0.107683476"/>
    <n v="3.7132673999999997E-2"/>
    <n v="1.3019012E-2"/>
    <n v="1.369311E-3"/>
  </r>
  <r>
    <x v="111"/>
    <x v="57"/>
    <n v="4.8094775999999999E-2"/>
    <n v="8.3919002000000006E-2"/>
    <n v="4.6697209000000003E-2"/>
    <n v="0.16448262299999999"/>
    <n v="0.136494951"/>
    <n v="0.34767478299999999"/>
    <n v="3.5902615999999998E-2"/>
    <n v="6.4439822999999993E-2"/>
    <n v="1.5624661999999999E-2"/>
    <n v="1.5277671E-2"/>
    <n v="1.4081475E-2"/>
  </r>
  <r>
    <x v="112"/>
    <x v="58"/>
    <n v="2.8012299000000001E-2"/>
    <n v="8.3738591000000001E-2"/>
    <n v="8.5899628000000006E-2"/>
    <n v="0.121839646"/>
    <n v="0.118874008"/>
    <n v="0.326613282"/>
    <n v="3.127783E-2"/>
    <n v="6.3967999999999997E-2"/>
    <n v="3.6656016999999999E-2"/>
    <n v="2.0298305999999999E-2"/>
    <n v="1.3272977E-2"/>
  </r>
  <r>
    <x v="113"/>
    <x v="1"/>
    <n v="4.4289334E-2"/>
    <n v="6.9868405999999994E-2"/>
    <n v="9.8392041E-2"/>
    <n v="0.137541572"/>
    <n v="0.10910053"/>
    <n v="0.34503414300000002"/>
    <n v="3.2351085000000002E-2"/>
    <n v="7.6589280999999995E-2"/>
    <n v="2.4804711E-2"/>
    <n v="1.9664094999999999E-2"/>
    <n v="3.86784E-3"/>
  </r>
  <r>
    <x v="114"/>
    <x v="1"/>
    <n v="4.7067342999999998E-2"/>
    <n v="4.1966119000000003E-2"/>
    <n v="7.1205641E-2"/>
    <n v="0.196396178"/>
    <n v="0.10696596"/>
    <n v="0.37456777900000005"/>
    <n v="3.8955529000000003E-2"/>
    <n v="8.6554205999999995E-2"/>
    <n v="1.4260675E-2"/>
    <n v="2.0186678E-2"/>
    <n v="3.4151714999999999E-2"/>
  </r>
  <r>
    <x v="115"/>
    <x v="1"/>
    <n v="5.1031272000000003E-2"/>
    <n v="7.2722129999999996E-2"/>
    <n v="8.0072479000000002E-2"/>
    <n v="0.15691548599999999"/>
    <n v="8.1409413E-2"/>
    <n v="0.31839737800000001"/>
    <n v="2.2519596999999999E-2"/>
    <n v="9.2276004999999994E-2"/>
    <n v="3.2877278000000003E-2"/>
    <n v="2.0009510000000001E-2"/>
    <n v="1.5007318E-2"/>
  </r>
  <r>
    <x v="116"/>
    <x v="1"/>
    <n v="5.5696047999999998E-2"/>
    <n v="5.3535642000000001E-2"/>
    <n v="6.8062101999999999E-2"/>
    <n v="0.20426134600000001"/>
    <n v="6.1237641000000002E-2"/>
    <n v="0.33356108900000003"/>
    <n v="3.6146488999999997E-2"/>
    <n v="6.0252489999999999E-2"/>
    <n v="2.4310795999999999E-2"/>
    <n v="2.3456731000000001E-2"/>
    <n v="8.7539980000000007E-3"/>
  </r>
  <r>
    <x v="117"/>
    <x v="1"/>
    <n v="4.7304516999999997E-2"/>
    <n v="5.5689389999999998E-2"/>
    <n v="0.10727914099999999"/>
    <n v="0.16981280300000001"/>
    <n v="8.2335154999999993E-2"/>
    <n v="0.35942709900000003"/>
    <n v="4.0108641E-2"/>
    <n v="5.0649371999999998E-2"/>
    <n v="1.7469133000000001E-2"/>
    <n v="1.0473559E-2"/>
    <n v="9.1261659999999998E-3"/>
  </r>
  <r>
    <x v="118"/>
    <x v="1"/>
    <n v="7.0770501E-2"/>
    <n v="1.0933727000000001E-2"/>
    <n v="8.6021565999999994E-2"/>
    <n v="0.17108886500000001"/>
    <n v="4.7331402000000002E-2"/>
    <n v="0.304441833"/>
    <n v="2.2432792E-2"/>
    <n v="0.122016562"/>
    <n v="1.6441783000000001E-2"/>
    <n v="9.8392150000000001E-3"/>
    <n v="2.2186574000000001E-2"/>
  </r>
  <r>
    <x v="119"/>
    <x v="1"/>
    <n v="3.4690008000000001E-2"/>
    <n v="7.2488454999999993E-2"/>
    <n v="4.7406592999999997E-2"/>
    <n v="0.15444464499999999"/>
    <n v="9.7203046000000001E-2"/>
    <n v="0.299054284"/>
    <n v="2.9139531E-2"/>
    <n v="0.11471142600000001"/>
    <n v="2.6166745000000002E-2"/>
    <n v="2.5870450999999999E-2"/>
    <n v="1.3119034E-2"/>
  </r>
  <r>
    <x v="120"/>
    <x v="59"/>
    <n v="7.6067309999999999E-2"/>
    <n v="6.0037030999999998E-2"/>
    <n v="4.9820578999999997E-2"/>
    <n v="0.14347021200000001"/>
    <n v="9.2061165E-2"/>
    <n v="0.28535195600000002"/>
    <n v="4.0647524999999997E-2"/>
    <n v="0.10528834300000001"/>
    <n v="2.2526521000000001E-2"/>
    <n v="7.0573709999999998E-3"/>
    <n v="2.2526625000000002E-2"/>
  </r>
  <r>
    <x v="121"/>
    <x v="60"/>
    <n v="3.2221254999999997E-2"/>
    <n v="5.4054268000000003E-2"/>
    <n v="9.0351556999999999E-2"/>
    <n v="0.19130760999999999"/>
    <n v="7.6832081999999996E-2"/>
    <n v="0.35849124899999996"/>
    <n v="3.6738710000000001E-2"/>
    <n v="2.9956805999999999E-2"/>
    <n v="2.8345540999999998E-2"/>
    <n v="1.7738687999999999E-2"/>
    <n v="0"/>
  </r>
  <r>
    <x v="122"/>
    <x v="61"/>
    <n v="3.1421860000000003E-2"/>
    <n v="7.9259309999999999E-2"/>
    <n v="0.141815419"/>
    <n v="0.15859010500000001"/>
    <n v="0.101918827"/>
    <n v="0.40232435099999997"/>
    <n v="3.3995623000000003E-2"/>
    <n v="4.2207764000000002E-2"/>
    <n v="1.7096659E-2"/>
    <n v="1.7987337999999999E-2"/>
    <n v="1.96393E-3"/>
  </r>
  <r>
    <x v="123"/>
    <x v="1"/>
    <n v="7.0996504000000002E-2"/>
    <n v="7.0435070000000002E-2"/>
    <n v="9.7433960999999999E-2"/>
    <n v="0.17065182600000001"/>
    <n v="0.105992321"/>
    <n v="0.37407810800000002"/>
    <n v="2.7457853000000001E-2"/>
    <n v="0.10480566199999999"/>
    <n v="2.1339153E-2"/>
    <n v="1.7765466000000001E-2"/>
    <n v="3.4319899999999998E-4"/>
  </r>
  <r>
    <x v="124"/>
    <x v="62"/>
    <n v="4.3957102999999997E-2"/>
    <n v="5.5654733999999997E-2"/>
    <n v="9.3759833000000001E-2"/>
    <n v="0.16041375399999999"/>
    <n v="8.0944305999999994E-2"/>
    <n v="0.33511789299999994"/>
    <n v="2.8565875000000001E-2"/>
    <n v="4.2672032999999998E-2"/>
    <n v="2.1736845000000001E-2"/>
    <n v="2.0104401000000001E-2"/>
    <n v="3.7306599999999998E-3"/>
  </r>
  <r>
    <x v="125"/>
    <x v="1"/>
    <n v="4.7226381999999997E-2"/>
    <n v="4.6968061999999998E-2"/>
    <n v="6.9775040999999996E-2"/>
    <n v="0.17242439100000001"/>
    <n v="0.109804454"/>
    <n v="0.35200388599999999"/>
    <n v="4.0552578999999998E-2"/>
    <n v="7.6526721000000006E-2"/>
    <n v="3.3440471999999999E-2"/>
    <n v="2.4552124000000002E-2"/>
    <n v="4.5034740000000004E-3"/>
  </r>
  <r>
    <x v="126"/>
    <x v="63"/>
    <n v="5.4921813E-2"/>
    <n v="8.1155538999999999E-2"/>
    <n v="4.7372442000000001E-2"/>
    <n v="0.16807511"/>
    <n v="0.101606089"/>
    <n v="0.317053641"/>
    <n v="2.7364550000000001E-2"/>
    <n v="8.2597662000000002E-2"/>
    <n v="3.8262021E-2"/>
    <n v="1.5155009000000001E-2"/>
    <n v="2.2024587000000002E-2"/>
  </r>
  <r>
    <x v="127"/>
    <x v="1"/>
    <n v="4.4049482000000001E-2"/>
    <n v="9.0455037000000002E-2"/>
    <n v="7.6814181999999995E-2"/>
    <n v="0.12991282700000001"/>
    <n v="0.106051785"/>
    <n v="0.31277879400000003"/>
    <n v="2.6247765999999999E-2"/>
    <n v="7.5404117000000007E-2"/>
    <n v="2.0292461000000001E-2"/>
    <n v="2.7436275E-2"/>
    <n v="1.3586503999999999E-2"/>
  </r>
  <r>
    <x v="128"/>
    <x v="1"/>
    <n v="7.0900740000000004E-2"/>
    <n v="1.6173106999999999E-2"/>
    <n v="8.0731147000000003E-2"/>
    <n v="0.22879629700000001"/>
    <n v="9.5065048999999999E-2"/>
    <n v="0.404592493"/>
    <n v="4.1378990999999997E-2"/>
    <n v="8.6645567000000007E-2"/>
    <n v="1.2187863E-2"/>
    <n v="1.1640729000000001E-2"/>
    <n v="0"/>
  </r>
  <r>
    <x v="129"/>
    <x v="64"/>
    <n v="1.0253028000000001E-2"/>
    <n v="7.1570692000000005E-2"/>
    <n v="8.1350907E-2"/>
    <n v="0.166178666"/>
    <n v="0.10957442000000001"/>
    <n v="0.35710399300000001"/>
    <n v="3.3135407999999998E-2"/>
    <n v="9.0457646000000003E-2"/>
    <n v="2.2203629999999999E-3"/>
    <n v="1.6493890000000001E-2"/>
    <n v="1.7886150999999999E-2"/>
  </r>
  <r>
    <x v="130"/>
    <x v="1"/>
    <n v="7.0121194999999997E-2"/>
    <n v="6.7647619000000006E-2"/>
    <n v="7.4576674999999995E-2"/>
    <n v="7.6276619000000004E-2"/>
    <n v="0.103750166"/>
    <n v="0.25460346"/>
    <n v="4.1649878000000001E-2"/>
    <n v="0.12800745199999999"/>
    <n v="2.4388683000000001E-2"/>
    <n v="9.733729E-3"/>
    <n v="5.2959849999999996E-3"/>
  </r>
  <r>
    <x v="131"/>
    <x v="65"/>
    <n v="3.5366725000000002E-2"/>
    <n v="4.9682759999999999E-2"/>
    <n v="7.7613489999999993E-2"/>
    <n v="0.19848933699999999"/>
    <n v="9.2144482E-2"/>
    <n v="0.36824730900000002"/>
    <n v="4.3206069E-2"/>
    <n v="6.4348630000000004E-2"/>
    <n v="1.4673136E-2"/>
    <n v="3.3694099999999998E-2"/>
    <n v="1.6390650000000001E-3"/>
  </r>
  <r>
    <x v="132"/>
    <x v="66"/>
    <n v="4.8567224999999999E-2"/>
    <n v="8.3339669000000005E-2"/>
    <n v="7.7109812E-2"/>
    <n v="0.14870857500000001"/>
    <n v="8.9077976000000003E-2"/>
    <n v="0.31489636300000001"/>
    <n v="3.7774924000000001E-2"/>
    <n v="5.1534167999999998E-2"/>
    <n v="2.6835356000000001E-2"/>
    <n v="2.0495379000000001E-2"/>
    <n v="1.8286140000000001E-3"/>
  </r>
  <r>
    <x v="133"/>
    <x v="67"/>
    <n v="6.5372879999999994E-2"/>
    <n v="7.2634787000000006E-2"/>
    <n v="6.7663203000000005E-2"/>
    <n v="0.166464678"/>
    <n v="9.5516081000000003E-2"/>
    <n v="0.32964396200000001"/>
    <n v="2.5932291E-2"/>
    <n v="0.10664883999999999"/>
    <n v="1.0447104E-2"/>
    <n v="2.6927019999999999E-3"/>
    <n v="1.8650869E-2"/>
  </r>
  <r>
    <x v="134"/>
    <x v="68"/>
    <n v="3.4639797999999999E-2"/>
    <n v="0.11189729299999999"/>
    <n v="6.4223137999999999E-2"/>
    <n v="0.11668952"/>
    <n v="0.119013197"/>
    <n v="0.29992585500000002"/>
    <n v="3.7614558999999999E-2"/>
    <n v="6.3769093999999998E-2"/>
    <n v="2.1541907999999999E-2"/>
    <n v="2.3277408999999999E-2"/>
    <n v="1.2740721999999999E-2"/>
  </r>
  <r>
    <x v="135"/>
    <x v="69"/>
    <n v="3.1974609000000001E-2"/>
    <n v="0.11027843900000001"/>
    <n v="3.2070596999999999E-2"/>
    <n v="0.11865419100000001"/>
    <n v="0.11355201400000001"/>
    <n v="0.26427680200000003"/>
    <n v="3.7107665999999997E-2"/>
    <n v="9.3501021000000004E-2"/>
    <n v="2.6570736000000001E-2"/>
    <n v="1.4896229E-2"/>
    <n v="1.4491664E-2"/>
  </r>
  <r>
    <x v="136"/>
    <x v="70"/>
    <n v="6.5196538999999998E-2"/>
    <n v="2.7480350000000001E-2"/>
    <n v="7.1703879999999998E-2"/>
    <n v="0.24995019600000001"/>
    <n v="0.121087451"/>
    <n v="0.44274152700000002"/>
    <n v="4.0561489999999999E-2"/>
    <n v="4.3676381E-2"/>
    <n v="1.8605964999999999E-2"/>
    <n v="3.2845774000000001E-2"/>
    <n v="9.7184620000000006E-3"/>
  </r>
  <r>
    <x v="137"/>
    <x v="1"/>
    <n v="6.8583291000000005E-2"/>
    <n v="6.2372359000000002E-2"/>
    <n v="4.7913305000000003E-2"/>
    <n v="0.199167765"/>
    <n v="0.103440781"/>
    <n v="0.350521851"/>
    <n v="5.0455635999999998E-2"/>
    <n v="6.8630467000000001E-2"/>
    <n v="2.6793416E-2"/>
    <n v="2.6081790000000001E-2"/>
    <n v="6.3252350000000002E-3"/>
  </r>
  <r>
    <x v="138"/>
    <x v="1"/>
    <n v="5.8689233E-2"/>
    <n v="9.8126425000000003E-2"/>
    <n v="3.9560132999999997E-2"/>
    <n v="0.13852911900000001"/>
    <n v="0.10015806300000001"/>
    <n v="0.278247315"/>
    <n v="3.7207261999999998E-2"/>
    <n v="6.9853978999999997E-2"/>
    <n v="4.7969426000000003E-2"/>
    <n v="3.2820770999999999E-2"/>
    <n v="4.42285E-4"/>
  </r>
  <r>
    <x v="139"/>
    <x v="71"/>
    <n v="4.8281043000000003E-2"/>
    <n v="5.4398947000000003E-2"/>
    <n v="7.6271896000000006E-2"/>
    <n v="0.18707526499999999"/>
    <n v="7.5182869999999999E-2"/>
    <n v="0.33853003100000001"/>
    <n v="3.3334293000000001E-2"/>
    <n v="4.7612646000000002E-2"/>
    <n v="2.6427096000000001E-2"/>
    <n v="6.5557460000000003E-3"/>
    <n v="1.9051998000000001E-2"/>
  </r>
  <r>
    <x v="140"/>
    <x v="72"/>
    <n v="3.5184896E-2"/>
    <n v="4.2393426999999997E-2"/>
    <n v="7.5283555000000002E-2"/>
    <n v="0.187463723"/>
    <n v="9.5025084999999995E-2"/>
    <n v="0.35777236299999998"/>
    <n v="3.5277027000000002E-2"/>
    <n v="0.112184676"/>
    <n v="3.2819754E-2"/>
    <n v="7.6430600000000001E-3"/>
    <n v="2.4582913000000001E-2"/>
  </r>
  <r>
    <x v="141"/>
    <x v="1"/>
    <n v="4.5482913E-2"/>
    <n v="7.4641471000000001E-2"/>
    <n v="6.0458155E-2"/>
    <n v="9.8582759000000006E-2"/>
    <n v="0.11666857899999999"/>
    <n v="0.27570949300000003"/>
    <n v="3.8361893000000001E-2"/>
    <n v="8.6293322000000006E-2"/>
    <n v="3.1101387000000001E-2"/>
    <n v="6.3095690000000001E-3"/>
    <n v="1.2126774E-2"/>
  </r>
  <r>
    <x v="142"/>
    <x v="73"/>
    <n v="2.6594293000000001E-2"/>
    <n v="0.104763813"/>
    <n v="5.1078031000000003E-2"/>
    <n v="0.11482236799999999"/>
    <n v="0.11025362599999999"/>
    <n v="0.27615402499999997"/>
    <n v="4.1447458E-2"/>
    <n v="8.1700186999999994E-2"/>
    <n v="2.7250182000000001E-2"/>
    <n v="8.9246829999999992E-3"/>
    <n v="2.3131326000000001E-2"/>
  </r>
  <r>
    <x v="143"/>
    <x v="1"/>
    <n v="5.4556950999999999E-2"/>
    <n v="4.3745474999999999E-2"/>
    <n v="6.2360015999999997E-2"/>
    <n v="0.19351992200000001"/>
    <n v="8.6597469999999996E-2"/>
    <n v="0.34247740800000004"/>
    <n v="2.5741139E-2"/>
    <n v="7.7563550999999994E-2"/>
    <n v="3.6478556000000002E-2"/>
    <n v="1.8026355000000001E-2"/>
    <n v="0"/>
  </r>
  <r>
    <x v="144"/>
    <x v="74"/>
    <n v="5.2473134999999997E-2"/>
    <n v="6.5613701999999996E-2"/>
    <n v="6.4954442000000001E-2"/>
    <n v="0.16323826399999999"/>
    <n v="9.0147449000000004E-2"/>
    <n v="0.31834015500000001"/>
    <n v="3.9445569E-2"/>
    <n v="7.6462380999999996E-2"/>
    <n v="2.1454831000000001E-2"/>
    <n v="2.6157560999999999E-2"/>
    <n v="9.5102510000000008E-3"/>
  </r>
  <r>
    <x v="145"/>
    <x v="1"/>
    <n v="7.4789429000000004E-2"/>
    <n v="5.1210261999999999E-2"/>
    <n v="5.6109062000000001E-2"/>
    <n v="0.18490084800000001"/>
    <n v="6.3070606000000001E-2"/>
    <n v="0.30408051599999997"/>
    <n v="3.5612616999999999E-2"/>
    <n v="0.11359193200000001"/>
    <n v="7.6636339999999999E-3"/>
    <n v="8.4938089999999997E-3"/>
    <n v="9.8877199999999996E-4"/>
  </r>
  <r>
    <x v="146"/>
    <x v="75"/>
    <n v="2.1222483E-2"/>
    <n v="0.12319561900000001"/>
    <n v="2.5742187999999999E-2"/>
    <n v="0.15600882199999999"/>
    <n v="0.11455960599999999"/>
    <n v="0.29631061599999997"/>
    <n v="3.9553497999999999E-2"/>
    <n v="7.5763933000000006E-2"/>
    <n v="1.6883674000000001E-2"/>
    <n v="2.0359008000000001E-2"/>
    <n v="1.1213724E-2"/>
  </r>
  <r>
    <x v="147"/>
    <x v="1"/>
    <n v="7.3362394999999997E-2"/>
    <n v="6.7962508000000005E-2"/>
    <n v="5.9615441999999998E-2"/>
    <n v="0.143746182"/>
    <n v="8.5304850000000002E-2"/>
    <n v="0.28866647400000001"/>
    <n v="2.8239872999999999E-2"/>
    <n v="0.105147429"/>
    <n v="2.4931045999999998E-2"/>
    <n v="1.700401E-3"/>
    <n v="2.1803191E-2"/>
  </r>
  <r>
    <x v="148"/>
    <x v="1"/>
    <n v="4.7312463999999999E-2"/>
    <n v="7.4770877999999999E-2"/>
    <n v="7.1176415000000007E-2"/>
    <n v="0.210246661"/>
    <n v="8.2068154000000004E-2"/>
    <n v="0.36349123"/>
    <n v="2.6518185999999999E-2"/>
    <n v="0.105899829"/>
    <n v="4.1244278000000002E-2"/>
    <n v="1.0135145E-2"/>
    <n v="0"/>
  </r>
  <r>
    <x v="149"/>
    <x v="76"/>
    <n v="2.8761465E-2"/>
    <n v="2.7571825000000001E-2"/>
    <n v="4.8672436999999999E-2"/>
    <n v="0.103508319"/>
    <n v="0.14054465399999999"/>
    <n v="0.29272540999999996"/>
    <n v="2.1932765999999999E-2"/>
    <n v="9.9913289000000002E-2"/>
    <n v="4.6635489000000002E-2"/>
    <n v="1.482447E-3"/>
    <n v="1.2609471000000001E-2"/>
  </r>
  <r>
    <x v="150"/>
    <x v="77"/>
    <n v="5.7387193000000003E-2"/>
    <n v="7.8272897999999994E-2"/>
    <n v="7.3153382000000003E-2"/>
    <n v="0.14749909899999999"/>
    <n v="9.2149095E-2"/>
    <n v="0.31280157600000003"/>
    <n v="2.6939810000000002E-2"/>
    <n v="9.4388869E-2"/>
    <n v="2.4756357999999999E-2"/>
    <n v="1.5494803E-2"/>
    <n v="2.4201409999999998E-3"/>
  </r>
  <r>
    <x v="151"/>
    <x v="78"/>
    <n v="4.4058367000000001E-2"/>
    <n v="7.6446721999999995E-2"/>
    <n v="6.5541604000000003E-2"/>
    <n v="0.159274638"/>
    <n v="7.1756589999999995E-2"/>
    <n v="0.29657283200000001"/>
    <n v="3.6714867999999998E-2"/>
    <n v="0.10001937499999999"/>
    <n v="3.3286982999999999E-2"/>
    <n v="1.9618637000000001E-2"/>
    <n v="1.3570229E-2"/>
  </r>
  <r>
    <x v="152"/>
    <x v="79"/>
    <n v="4.6442269000000001E-2"/>
    <n v="7.2547150000000005E-2"/>
    <n v="9.5972928999999998E-2"/>
    <n v="0.17390557100000001"/>
    <n v="8.5164606000000004E-2"/>
    <n v="0.355043106"/>
    <n v="3.7406107000000001E-2"/>
    <n v="3.0660997999999998E-2"/>
    <n v="1.1989649999999999E-2"/>
    <n v="4.2384379999999999E-2"/>
    <n v="6.2728920000000004E-3"/>
  </r>
  <r>
    <x v="153"/>
    <x v="80"/>
    <n v="5.0831566000000002E-2"/>
    <n v="8.8982490999999997E-2"/>
    <n v="7.2328815000000005E-2"/>
    <n v="0.15132567099999999"/>
    <n v="9.3829577999999997E-2"/>
    <n v="0.31748406399999995"/>
    <n v="4.0443835999999997E-2"/>
    <n v="7.1636484E-2"/>
    <n v="3.0160328E-2"/>
    <n v="2.8401869E-2"/>
    <n v="1.0628729E-2"/>
  </r>
  <r>
    <x v="154"/>
    <x v="1"/>
    <n v="5.2649591000000003E-2"/>
    <n v="5.9550761000000001E-2"/>
    <n v="8.2334155000000006E-2"/>
    <n v="0.16398437099999999"/>
    <n v="9.6320332999999994E-2"/>
    <n v="0.34263885899999996"/>
    <n v="2.9220533E-2"/>
    <n v="8.2983628000000004E-2"/>
    <n v="9.9305009999999996E-3"/>
    <n v="1.9823361000000001E-2"/>
    <n v="1.9628396999999999E-2"/>
  </r>
  <r>
    <x v="155"/>
    <x v="1"/>
    <n v="7.2354373E-2"/>
    <n v="5.8774370999999999E-2"/>
    <n v="5.0854115999999998E-2"/>
    <n v="0.194796363"/>
    <n v="9.7239927000000004E-2"/>
    <n v="0.34289040599999998"/>
    <n v="3.1942334000000003E-2"/>
    <n v="9.2334439000000004E-2"/>
    <n v="1.1878839E-2"/>
    <n v="2.2574882000000001E-2"/>
    <n v="7.3342529999999998E-3"/>
  </r>
  <r>
    <x v="156"/>
    <x v="1"/>
    <n v="3.6165021999999998E-2"/>
    <n v="8.9176923000000005E-2"/>
    <n v="7.2604042999999993E-2"/>
    <n v="0.13943443899999999"/>
    <n v="0.10405640300000001"/>
    <n v="0.31609488499999999"/>
    <n v="2.5165170000000001E-2"/>
    <n v="0.100800982"/>
    <n v="3.0630804000000001E-2"/>
    <n v="1.5857960000000001E-2"/>
    <n v="1.2983418E-2"/>
  </r>
  <r>
    <x v="157"/>
    <x v="81"/>
    <n v="3.8352984999999999E-2"/>
    <n v="4.1074140000000002E-2"/>
    <n v="3.5466958E-2"/>
    <n v="0.184054367"/>
    <n v="0.123108809"/>
    <n v="0.34263013399999998"/>
    <n v="5.1666557000000002E-2"/>
    <n v="6.1304387000000002E-2"/>
    <n v="1.2933195E-2"/>
    <n v="2.0933067999999999E-2"/>
    <n v="8.7904980000000008E-3"/>
  </r>
  <r>
    <x v="158"/>
    <x v="1"/>
    <n v="5.3956377999999999E-2"/>
    <n v="4.1988154999999999E-2"/>
    <n v="7.0758867000000003E-2"/>
    <n v="0.16723159000000001"/>
    <n v="0.110006613"/>
    <n v="0.34799707000000002"/>
    <n v="3.9765951000000001E-2"/>
    <n v="7.5782426E-2"/>
    <n v="2.4739364E-2"/>
    <n v="2.4169287000000001E-2"/>
    <n v="1.9530313000000001E-2"/>
  </r>
  <r>
    <x v="159"/>
    <x v="82"/>
    <n v="4.8139098999999998E-2"/>
    <n v="7.0510201999999994E-2"/>
    <n v="6.0337267E-2"/>
    <n v="0.15012795300000001"/>
    <n v="0.101269043"/>
    <n v="0.31173426300000001"/>
    <n v="2.6954862999999999E-2"/>
    <n v="9.3466397000000007E-2"/>
    <n v="4.2400092E-2"/>
    <n v="1.3652460999999999E-2"/>
    <n v="1.3252262000000001E-2"/>
  </r>
  <r>
    <x v="160"/>
    <x v="1"/>
    <n v="3.6996897000000001E-2"/>
    <n v="6.3569939000000006E-2"/>
    <n v="8.5385449000000002E-2"/>
    <n v="0.14642923399999999"/>
    <n v="9.6300992000000002E-2"/>
    <n v="0.328115675"/>
    <n v="3.2309854999999998E-2"/>
    <n v="8.9856052000000006E-2"/>
    <n v="3.4903915000000001E-2"/>
    <n v="2.5966253000000002E-2"/>
    <n v="1.8717068999999999E-2"/>
  </r>
  <r>
    <x v="161"/>
    <x v="83"/>
    <n v="3.9612733999999997E-2"/>
    <n v="2.6387429E-2"/>
    <n v="9.1796179000000006E-2"/>
    <n v="0.19021996999999999"/>
    <n v="8.5191693999999998E-2"/>
    <n v="0.36720784299999998"/>
    <n v="3.1205238E-2"/>
    <n v="7.0325506999999995E-2"/>
    <n v="3.1368962E-2"/>
    <n v="4.2707878999999997E-2"/>
    <n v="9.2311930000000004E-3"/>
  </r>
  <r>
    <x v="162"/>
    <x v="84"/>
    <n v="4.1647111000000001E-2"/>
    <n v="7.2540440999999997E-2"/>
    <n v="5.6817430000000002E-2"/>
    <n v="0.15788845300000001"/>
    <n v="0.105694629"/>
    <n v="0.32040051200000003"/>
    <n v="3.7072767E-2"/>
    <n v="7.6224688999999998E-2"/>
    <n v="2.2206986000000001E-2"/>
    <n v="2.0659273999999998E-2"/>
    <n v="7.287834E-3"/>
  </r>
  <r>
    <x v="163"/>
    <x v="85"/>
    <n v="6.1979646999999999E-2"/>
    <n v="0.13006273700000001"/>
    <n v="6.9726142000000005E-2"/>
    <n v="0.14970090599999999"/>
    <n v="0.115004168"/>
    <n v="0.33443121600000003"/>
    <n v="2.9743445E-2"/>
    <n v="7.9316320999999995E-2"/>
    <n v="2.2716607999999999E-2"/>
    <n v="0"/>
    <n v="1.0103600000000001E-2"/>
  </r>
  <r>
    <x v="164"/>
    <x v="86"/>
    <n v="6.3490576000000007E-2"/>
    <n v="7.2832981000000005E-2"/>
    <n v="6.9048769999999995E-2"/>
    <n v="0.18612769600000001"/>
    <n v="9.5089253999999998E-2"/>
    <n v="0.35026572"/>
    <n v="4.1945146000000003E-2"/>
    <n v="7.6164744000000006E-2"/>
    <n v="3.060657E-2"/>
    <n v="1.6261551999999999E-2"/>
    <n v="1.6729878E-2"/>
  </r>
  <r>
    <x v="165"/>
    <x v="87"/>
    <n v="4.3708194999999998E-2"/>
    <n v="7.4402837999999999E-2"/>
    <n v="4.5567312999999998E-2"/>
    <n v="0.188422231"/>
    <n v="9.1276510000000005E-2"/>
    <n v="0.32526605399999997"/>
    <n v="3.3298874999999999E-2"/>
    <n v="7.5197983999999995E-2"/>
    <n v="1.8665362000000001E-2"/>
    <n v="1.6464016000000001E-2"/>
    <n v="5.9047470000000001E-3"/>
  </r>
  <r>
    <x v="166"/>
    <x v="1"/>
    <n v="4.7646785999999997E-2"/>
    <n v="6.2601614E-2"/>
    <n v="7.2878203000000003E-2"/>
    <n v="0.16402318199999999"/>
    <n v="8.8179296000000004E-2"/>
    <n v="0.32508068099999998"/>
    <n v="3.4094867000000001E-2"/>
    <n v="8.0469173000000005E-2"/>
    <n v="2.5136089E-2"/>
    <n v="1.1182404E-2"/>
    <n v="1.1681786E-2"/>
  </r>
  <r>
    <x v="167"/>
    <x v="88"/>
    <n v="2.3143848000000002E-2"/>
    <n v="0.13537876900000001"/>
    <n v="9.6491136000000005E-2"/>
    <n v="0.11575781"/>
    <n v="0.113158839"/>
    <n v="0.325407785"/>
    <n v="4.3849945000000001E-2"/>
    <n v="5.5365770000000002E-2"/>
    <n v="1.4630300000000001E-2"/>
    <n v="3.3047417000000003E-2"/>
    <n v="0"/>
  </r>
  <r>
    <x v="168"/>
    <x v="1"/>
    <n v="6.6086669000000001E-2"/>
    <n v="9.6510512000000007E-2"/>
    <n v="3.7175094999999998E-2"/>
    <n v="0.157305949"/>
    <n v="0.119308794"/>
    <n v="0.31378983799999999"/>
    <n v="3.4408559999999998E-2"/>
    <n v="7.6081545E-2"/>
    <n v="2.2623658000000001E-2"/>
    <n v="1.7293190999999999E-2"/>
    <n v="1.3468300000000001E-2"/>
  </r>
  <r>
    <x v="169"/>
    <x v="1"/>
    <n v="6.8651529000000003E-2"/>
    <n v="4.2808143E-2"/>
    <n v="7.5243479000000002E-2"/>
    <n v="0.205817469"/>
    <n v="0.10233285"/>
    <n v="0.38339379800000006"/>
    <n v="3.8059183000000003E-2"/>
    <n v="5.1312436000000003E-2"/>
    <n v="3.6419777E-2"/>
    <n v="2.5312353999999999E-2"/>
    <n v="2.5283934000000001E-2"/>
  </r>
  <r>
    <x v="170"/>
    <x v="89"/>
    <n v="3.1591762000000002E-2"/>
    <n v="8.3395210999999997E-2"/>
    <n v="9.9244984999999994E-2"/>
    <n v="0.13015489799999999"/>
    <n v="0.10690588299999999"/>
    <n v="0.33630576599999995"/>
    <n v="4.0102189000000003E-2"/>
    <n v="6.6139536999999998E-2"/>
    <n v="1.4609538E-2"/>
    <n v="2.6044358E-2"/>
    <n v="7.9877860000000002E-3"/>
  </r>
  <r>
    <x v="171"/>
    <x v="90"/>
    <n v="6.0854610000000003E-2"/>
    <n v="9.1867957E-2"/>
    <n v="5.8511523000000003E-2"/>
    <n v="0.159814866"/>
    <n v="0.104162932"/>
    <n v="0.322489321"/>
    <n v="4.1631611999999998E-2"/>
    <n v="5.9118032000000001E-2"/>
    <n v="3.9807844000000002E-2"/>
    <n v="2.8751223999999999E-2"/>
    <n v="3.0886164000000001E-2"/>
  </r>
  <r>
    <x v="172"/>
    <x v="1"/>
    <n v="4.9908532999999998E-2"/>
    <n v="5.1946872999999998E-2"/>
    <n v="8.8856527000000005E-2"/>
    <n v="0.21351113699999999"/>
    <n v="8.3141081000000006E-2"/>
    <n v="0.38550874499999999"/>
    <n v="2.5187164000000001E-2"/>
    <n v="7.0846659000000006E-2"/>
    <n v="1.4184205E-2"/>
    <n v="1.9699554000000001E-2"/>
    <n v="5.8908110000000001E-3"/>
  </r>
  <r>
    <x v="173"/>
    <x v="91"/>
    <n v="2.1097509E-2"/>
    <n v="7.8716082000000007E-2"/>
    <n v="8.7236346000000006E-2"/>
    <n v="0.15194080400000001"/>
    <n v="0.107649149"/>
    <n v="0.346826299"/>
    <n v="3.774889E-2"/>
    <n v="5.2451861000000002E-2"/>
    <n v="1.9183810999999999E-2"/>
    <n v="7.49149E-3"/>
    <n v="0"/>
  </r>
  <r>
    <x v="174"/>
    <x v="1"/>
    <n v="3.9332616000000001E-2"/>
    <n v="4.9281670999999999E-2"/>
    <n v="0.115481207"/>
    <n v="0.144453891"/>
    <n v="0.11927782000000001"/>
    <n v="0.37921291800000001"/>
    <n v="2.9226057999999999E-2"/>
    <n v="0.11407468799999999"/>
    <n v="1.2451999E-2"/>
    <n v="1.9344281000000001E-2"/>
    <n v="1.3907541000000001E-2"/>
  </r>
  <r>
    <x v="175"/>
    <x v="1"/>
    <n v="6.6767706999999996E-2"/>
    <n v="1.7349624000000001E-2"/>
    <n v="7.8145140000000002E-2"/>
    <n v="0.18132410700000001"/>
    <n v="8.281724E-2"/>
    <n v="0.34228648700000003"/>
    <n v="4.1982499999999999E-2"/>
    <n v="9.2600196999999995E-2"/>
    <n v="2.6600527999999998E-2"/>
    <n v="2.9869251999999999E-2"/>
    <n v="2.2258267000000002E-2"/>
  </r>
  <r>
    <x v="176"/>
    <x v="1"/>
    <n v="6.1246935000000002E-2"/>
    <n v="6.3749119000000007E-2"/>
    <n v="6.4177414000000002E-2"/>
    <n v="0.171397302"/>
    <n v="0.114885001"/>
    <n v="0.350459717"/>
    <n v="4.4961849999999998E-2"/>
    <n v="7.5659984E-2"/>
    <n v="2.5135001000000001E-2"/>
    <n v="1.7633111999999999E-2"/>
    <n v="0"/>
  </r>
  <r>
    <x v="177"/>
    <x v="92"/>
    <n v="3.0033834999999998E-2"/>
    <n v="5.4374674999999997E-2"/>
    <n v="8.5119417000000003E-2"/>
    <n v="0.15190068000000001"/>
    <n v="0.10096417100000001"/>
    <n v="0.33798426800000003"/>
    <n v="4.2535010999999998E-2"/>
    <n v="3.9861920000000002E-2"/>
    <n v="1.9550491999999999E-2"/>
    <n v="9.9963580000000003E-3"/>
    <n v="1.3510182000000001E-2"/>
  </r>
  <r>
    <x v="178"/>
    <x v="1"/>
    <n v="5.3066473000000003E-2"/>
    <n v="7.0647080000000001E-2"/>
    <n v="7.7879375000000001E-2"/>
    <n v="0.229474645"/>
    <n v="7.8939630999999996E-2"/>
    <n v="0.38629365100000002"/>
    <n v="3.8715010000000001E-2"/>
    <n v="7.6832669000000006E-2"/>
    <n v="6.1095580000000002E-3"/>
    <n v="1.9367477000000001E-2"/>
    <n v="5.7426880000000001E-3"/>
  </r>
  <r>
    <x v="179"/>
    <x v="93"/>
    <n v="4.8871829999999998E-2"/>
    <n v="6.1417190000000003E-2"/>
    <n v="0.10212070299999999"/>
    <n v="0.15933528699999999"/>
    <n v="8.4460224E-2"/>
    <n v="0.34591621399999994"/>
    <n v="4.4328286000000001E-2"/>
    <n v="3.7502730999999997E-2"/>
    <n v="3.5131965000000001E-2"/>
    <n v="0"/>
    <n v="0"/>
  </r>
  <r>
    <x v="180"/>
    <x v="94"/>
    <n v="4.1260650000000003E-2"/>
    <n v="6.3157015999999996E-2"/>
    <n v="9.3077143000000001E-2"/>
    <n v="0.169001506"/>
    <n v="8.7723226000000001E-2"/>
    <n v="0.34980187499999998"/>
    <n v="3.5126797000000001E-2"/>
    <n v="3.4975080999999998E-2"/>
    <n v="2.4399067999999999E-2"/>
    <n v="2.8833226E-2"/>
    <n v="4.0222280000000001E-3"/>
  </r>
  <r>
    <x v="181"/>
    <x v="95"/>
    <n v="3.2300947000000003E-2"/>
    <n v="8.1374769E-2"/>
    <n v="5.5317324000000001E-2"/>
    <n v="0.18304140799999999"/>
    <n v="7.8083521000000003E-2"/>
    <n v="0.31644225300000001"/>
    <n v="3.4598016000000002E-2"/>
    <n v="9.2320078E-2"/>
    <n v="1.8747007999999999E-2"/>
    <n v="3.7268400000000003E-4"/>
    <n v="9.7272629999999999E-3"/>
  </r>
  <r>
    <x v="182"/>
    <x v="96"/>
    <n v="4.2530255000000003E-2"/>
    <n v="6.7301903999999996E-2"/>
    <n v="8.7164913999999996E-2"/>
    <n v="0.152953373"/>
    <n v="9.1301824000000004E-2"/>
    <n v="0.33142011100000002"/>
    <n v="3.9032510999999999E-2"/>
    <n v="0.103244669"/>
    <n v="3.2200904000000002E-2"/>
    <n v="3.5002268000000003E-2"/>
    <n v="9.9020719999999996E-3"/>
  </r>
  <r>
    <x v="183"/>
    <x v="1"/>
    <n v="6.3835769000000001E-2"/>
    <n v="5.647638E-2"/>
    <n v="6.6081286000000003E-2"/>
    <n v="0.18557326900000001"/>
    <n v="6.4409378000000003E-2"/>
    <n v="0.31606393300000002"/>
    <n v="2.4378442E-2"/>
    <n v="6.1029376000000003E-2"/>
    <n v="2.2290036999999999E-2"/>
    <n v="9.5213769999999993E-3"/>
    <n v="1.2536584999999999E-2"/>
  </r>
  <r>
    <x v="184"/>
    <x v="1"/>
    <n v="7.0548791E-2"/>
    <n v="4.7315675000000001E-2"/>
    <n v="6.3527447000000001E-2"/>
    <n v="0.21623499199999999"/>
    <n v="8.6152251999999999E-2"/>
    <n v="0.36591469099999996"/>
    <n v="3.1989350999999999E-2"/>
    <n v="4.5685282000000001E-2"/>
    <n v="2.9231225999999999E-2"/>
    <n v="1.9973103999999998E-2"/>
    <n v="1.3077663999999999E-2"/>
  </r>
  <r>
    <x v="185"/>
    <x v="97"/>
    <n v="2.8814731999999999E-2"/>
    <n v="7.9262600000000002E-2"/>
    <n v="6.1479894E-2"/>
    <n v="0.14979482599999999"/>
    <n v="0.105025889"/>
    <n v="0.31630060900000001"/>
    <n v="3.6267446000000002E-2"/>
    <n v="9.8394488000000002E-2"/>
    <n v="1.8750255E-2"/>
    <n v="2.3139766999999999E-2"/>
    <n v="0"/>
  </r>
  <r>
    <x v="186"/>
    <x v="98"/>
    <n v="6.2355141000000003E-2"/>
    <n v="8.352996E-2"/>
    <n v="8.5517297000000006E-2"/>
    <n v="7.6929007999999993E-2"/>
    <n v="8.3850477000000007E-2"/>
    <n v="0.24629678200000002"/>
    <n v="3.82177E-2"/>
    <n v="8.6107224999999996E-2"/>
    <n v="3.7547435999999997E-2"/>
    <n v="1.2006193E-2"/>
    <n v="2.1718060000000001E-2"/>
  </r>
  <r>
    <x v="187"/>
    <x v="1"/>
    <n v="5.0317637999999998E-2"/>
    <n v="5.7374305E-2"/>
    <n v="5.0183697999999999E-2"/>
    <n v="0.14608916"/>
    <n v="0.112730213"/>
    <n v="0.30900307100000002"/>
    <n v="4.6521630000000001E-2"/>
    <n v="7.9261224000000005E-2"/>
    <n v="2.6579539999999999E-2"/>
    <n v="3.6407042000000001E-2"/>
    <n v="1.9843155000000001E-2"/>
  </r>
  <r>
    <x v="188"/>
    <x v="1"/>
    <n v="5.2267392000000003E-2"/>
    <n v="5.5648927000000001E-2"/>
    <n v="4.4553137999999999E-2"/>
    <n v="0.21995693399999999"/>
    <n v="8.9411426000000002E-2"/>
    <n v="0.353921498"/>
    <n v="3.8342675E-2"/>
    <n v="8.1063476999999995E-2"/>
    <n v="4.6171809999999997E-3"/>
    <n v="2.6768420000000001E-2"/>
    <n v="4.5261110000000002E-3"/>
  </r>
  <r>
    <x v="189"/>
    <x v="99"/>
    <n v="4.2858633E-2"/>
    <n v="7.7907301999999998E-2"/>
    <n v="7.8145038E-2"/>
    <n v="0.14929140099999999"/>
    <n v="8.5528928000000004E-2"/>
    <n v="0.31296536699999999"/>
    <n v="3.1466731999999997E-2"/>
    <n v="3.8567149000000002E-2"/>
    <n v="2.731834E-2"/>
    <n v="1.5217239E-2"/>
    <n v="2.1361660000000001E-3"/>
  </r>
  <r>
    <x v="190"/>
    <x v="1"/>
    <n v="3.5327508000000001E-2"/>
    <n v="9.8328169000000007E-2"/>
    <n v="6.5770264999999994E-2"/>
    <n v="0.12746195799999999"/>
    <n v="0.12831089000000001"/>
    <n v="0.32154311299999999"/>
    <n v="3.5429052000000003E-2"/>
    <n v="8.4022475999999999E-2"/>
    <n v="2.2433148E-2"/>
    <n v="2.7294006999999999E-2"/>
    <n v="0"/>
  </r>
  <r>
    <x v="191"/>
    <x v="1"/>
    <n v="5.9627399999999997E-2"/>
    <n v="5.8804518E-2"/>
    <n v="8.3129673000000001E-2"/>
    <n v="0.14531042899999999"/>
    <n v="0.13637196400000001"/>
    <n v="0.36481206599999999"/>
    <n v="3.7945714999999998E-2"/>
    <n v="7.5659527000000004E-2"/>
    <n v="4.9471259999999996E-3"/>
    <n v="9.4443050000000001E-3"/>
    <n v="6.2690499999999998E-4"/>
  </r>
  <r>
    <x v="192"/>
    <x v="100"/>
    <n v="1.994288E-2"/>
    <n v="0.107609171"/>
    <n v="2.7628789000000001E-2"/>
    <n v="0.17313874300000001"/>
    <n v="0.12046275300000001"/>
    <n v="0.32123028500000006"/>
    <n v="4.2249874E-2"/>
    <n v="7.2655619000000005E-2"/>
    <n v="1.3083789E-2"/>
    <n v="2.4309291E-2"/>
    <n v="2.236137E-3"/>
  </r>
  <r>
    <x v="193"/>
    <x v="101"/>
    <n v="3.5415742E-2"/>
    <n v="9.6073565999999999E-2"/>
    <n v="6.8435642000000005E-2"/>
    <n v="0.14302056799999999"/>
    <n v="9.4719508999999993E-2"/>
    <n v="0.30617571899999996"/>
    <n v="4.071698E-2"/>
    <n v="8.0174545E-2"/>
    <n v="3.7942442E-2"/>
    <n v="2.4321254E-2"/>
    <n v="1.2133586999999999E-2"/>
  </r>
  <r>
    <x v="194"/>
    <x v="1"/>
    <n v="6.1521463999999998E-2"/>
    <n v="6.1345621000000003E-2"/>
    <n v="5.8397544000000003E-2"/>
    <n v="0.18170509300000001"/>
    <n v="8.2834485999999999E-2"/>
    <n v="0.32293712299999999"/>
    <n v="2.5158030000000001E-2"/>
    <n v="9.3058908999999995E-2"/>
    <n v="2.368514E-2"/>
    <n v="1.3469052E-2"/>
    <n v="9.9537779999999999E-3"/>
  </r>
  <r>
    <x v="195"/>
    <x v="1"/>
    <n v="6.3312840999999995E-2"/>
    <n v="5.6512765E-2"/>
    <n v="7.7794341000000003E-2"/>
    <n v="0.15817407"/>
    <n v="0.108862393"/>
    <n v="0.34483080399999999"/>
    <n v="3.3719332999999997E-2"/>
    <n v="9.7657858E-2"/>
    <n v="2.5045186000000001E-2"/>
    <n v="1.832885E-3"/>
    <n v="1.6784764000000001E-2"/>
  </r>
  <r>
    <x v="196"/>
    <x v="1"/>
    <n v="6.9762853999999999E-2"/>
    <n v="5.8776148E-2"/>
    <n v="8.2135073000000003E-2"/>
    <n v="0.146830709"/>
    <n v="8.6162254999999993E-2"/>
    <n v="0.31512803700000003"/>
    <n v="3.5605749999999999E-2"/>
    <n v="8.2673891999999999E-2"/>
    <n v="1.7300632999999999E-2"/>
    <n v="2.2831234999999998E-2"/>
    <n v="1.2339987E-2"/>
  </r>
  <r>
    <x v="197"/>
    <x v="1"/>
    <n v="5.8967925999999997E-2"/>
    <n v="3.5448706000000003E-2"/>
    <n v="6.7431388999999994E-2"/>
    <n v="0.18632046899999999"/>
    <n v="6.6188048999999999E-2"/>
    <n v="0.31993990699999997"/>
    <n v="3.2458787000000003E-2"/>
    <n v="9.5016924000000003E-2"/>
    <n v="1.2537502000000001E-2"/>
    <n v="2.9458306E-2"/>
    <n v="1.9519814999999999E-2"/>
  </r>
  <r>
    <x v="198"/>
    <x v="102"/>
    <n v="4.2031586000000003E-2"/>
    <n v="5.9921455999999998E-2"/>
    <n v="5.7828968000000001E-2"/>
    <n v="0.15821458499999999"/>
    <n v="8.6086777000000003E-2"/>
    <n v="0.30213033"/>
    <n v="2.9261189999999999E-2"/>
    <n v="9.2430543000000004E-2"/>
    <n v="2.7223911999999999E-2"/>
    <n v="2.0843670000000002E-3"/>
    <n v="2.7084654999999999E-2"/>
  </r>
  <r>
    <x v="199"/>
    <x v="1"/>
    <n v="6.7756448999999996E-2"/>
    <n v="4.9273154999999999E-2"/>
    <n v="6.7185968999999998E-2"/>
    <n v="0.15180355000000001"/>
    <n v="0.104201689"/>
    <n v="0.32319120800000001"/>
    <n v="3.5399865000000003E-2"/>
    <n v="9.0203078000000006E-2"/>
    <n v="2.3943339000000001E-2"/>
    <n v="2.3760887000000001E-2"/>
    <n v="7.3552440000000004E-3"/>
  </r>
  <r>
    <x v="200"/>
    <x v="1"/>
    <n v="4.5392622000000001E-2"/>
    <n v="5.9406924E-2"/>
    <n v="7.4513351000000005E-2"/>
    <n v="0.17675471500000001"/>
    <n v="8.9876420999999998E-2"/>
    <n v="0.341144487"/>
    <n v="3.7249612000000001E-2"/>
    <n v="0.10805859600000001"/>
    <n v="2.3403523999999998E-2"/>
    <n v="1.3427661E-2"/>
    <n v="1.7684847E-2"/>
  </r>
  <r>
    <x v="201"/>
    <x v="1"/>
    <n v="6.1962573999999999E-2"/>
    <n v="5.1444766000000003E-2"/>
    <n v="9.4080884000000004E-2"/>
    <n v="0.14982082899999999"/>
    <n v="8.4071495999999996E-2"/>
    <n v="0.32797320899999999"/>
    <n v="2.4017106999999999E-2"/>
    <n v="9.4806199999999993E-2"/>
    <n v="2.5109510000000002E-2"/>
    <n v="1.7429653E-2"/>
    <n v="1.0293629999999999E-3"/>
  </r>
  <r>
    <x v="202"/>
    <x v="1"/>
    <n v="4.4622684000000003E-2"/>
    <n v="3.4279719E-2"/>
    <n v="5.6346782999999998E-2"/>
    <n v="0.15771706399999999"/>
    <n v="0.106579284"/>
    <n v="0.32064313099999997"/>
    <n v="5.3592704999999997E-2"/>
    <n v="0.102242891"/>
    <n v="3.1242466999999999E-2"/>
    <n v="2.8930801999999999E-2"/>
    <n v="1.3761358E-2"/>
  </r>
  <r>
    <x v="203"/>
    <x v="103"/>
    <n v="5.0169757000000002E-2"/>
    <n v="0.117734661"/>
    <n v="5.4179772000000001E-2"/>
    <n v="0.18997787299999999"/>
    <n v="0.102575077"/>
    <n v="0.34673272199999999"/>
    <n v="3.8068818999999997E-2"/>
    <n v="6.6465489000000003E-2"/>
    <n v="3.2002775999999997E-2"/>
    <n v="1.6084912E-2"/>
    <n v="2.1624669999999999E-2"/>
  </r>
  <r>
    <x v="204"/>
    <x v="104"/>
    <n v="3.8736829E-2"/>
    <n v="5.8186449000000001E-2"/>
    <n v="0.12029632"/>
    <n v="0.14510109900000001"/>
    <n v="0.116218013"/>
    <n v="0.38161543200000003"/>
    <n v="2.9932960000000002E-2"/>
    <n v="4.0198553999999997E-2"/>
    <n v="2.6065716999999999E-2"/>
    <n v="2.1398803000000001E-2"/>
    <n v="2.0290070000000002E-3"/>
  </r>
  <r>
    <x v="205"/>
    <x v="105"/>
    <n v="4.3684237000000001E-2"/>
    <n v="8.2140509E-2"/>
    <n v="5.8616888999999998E-2"/>
    <n v="0.144758262"/>
    <n v="9.9870561999999996E-2"/>
    <n v="0.30324571300000003"/>
    <n v="4.1595681000000002E-2"/>
    <n v="5.7425434999999997E-2"/>
    <n v="2.5999468000000001E-2"/>
    <n v="5.0963303000000001E-2"/>
    <n v="9.2366419999999998E-3"/>
  </r>
  <r>
    <x v="206"/>
    <x v="106"/>
    <n v="6.1560200000000002E-2"/>
    <n v="2.9766219E-2"/>
    <n v="2.2554655E-2"/>
    <n v="0.17953712299999999"/>
    <n v="9.8886288000000003E-2"/>
    <n v="0.30097806599999999"/>
    <n v="5.7693741999999999E-2"/>
    <n v="8.7113451999999994E-2"/>
    <n v="2.3323993000000001E-2"/>
    <n v="1.04023E-4"/>
    <n v="1.5841052000000001E-2"/>
  </r>
  <r>
    <x v="207"/>
    <x v="107"/>
    <n v="5.1831057E-2"/>
    <n v="5.7387319999999999E-2"/>
    <n v="3.9827067000000001E-2"/>
    <n v="0.19019587399999999"/>
    <n v="9.7953265999999997E-2"/>
    <n v="0.32797620699999996"/>
    <n v="4.2826006999999999E-2"/>
    <n v="6.9037013999999994E-2"/>
    <n v="2.985985E-2"/>
    <n v="2.7746707999999998E-2"/>
    <n v="1.7773502E-2"/>
  </r>
  <r>
    <x v="208"/>
    <x v="1"/>
    <n v="6.2516996000000005E-2"/>
    <n v="5.7360824999999997E-2"/>
    <n v="8.2357978999999998E-2"/>
    <n v="0.134945379"/>
    <n v="9.8771098000000002E-2"/>
    <n v="0.316074456"/>
    <n v="2.4449176999999999E-2"/>
    <n v="0.12516221999999999"/>
    <n v="4.520301E-3"/>
    <n v="1.0335868999999999E-2"/>
    <n v="1.0680255E-2"/>
  </r>
  <r>
    <x v="209"/>
    <x v="1"/>
    <n v="9.1928055999999994E-2"/>
    <n v="4.1382950000000002E-2"/>
    <n v="9.1129742999999999E-2"/>
    <n v="0.15869379"/>
    <n v="7.8065735999999997E-2"/>
    <n v="0.32788926899999998"/>
    <n v="4.4241807000000001E-2"/>
    <n v="9.1871978000000007E-2"/>
    <n v="2.6090694000000001E-2"/>
    <n v="2.0409482E-2"/>
    <n v="4.7765250000000002E-3"/>
  </r>
  <r>
    <x v="210"/>
    <x v="1"/>
    <n v="5.4123258E-2"/>
    <n v="5.8728376999999998E-2"/>
    <n v="7.6337004999999999E-2"/>
    <n v="0.14994629400000001"/>
    <n v="0.102634084"/>
    <n v="0.32891738300000001"/>
    <n v="2.9278730999999999E-2"/>
    <n v="8.0437466999999999E-2"/>
    <n v="2.6993205999999999E-2"/>
    <n v="2.9535471000000001E-2"/>
    <n v="1.2113562E-2"/>
  </r>
  <r>
    <x v="211"/>
    <x v="108"/>
    <n v="2.4862228E-2"/>
    <n v="8.8416248000000003E-2"/>
    <n v="0.127730502"/>
    <n v="0.14230209799999999"/>
    <n v="0.12810183"/>
    <n v="0.39813442999999993"/>
    <n v="3.4371822000000003E-2"/>
    <n v="5.4093093000000002E-2"/>
    <n v="6.2566849999999997E-3"/>
    <n v="9.9918720000000006E-3"/>
    <n v="9.8070959999999995E-3"/>
  </r>
  <r>
    <x v="212"/>
    <x v="109"/>
    <n v="4.9381256999999998E-2"/>
    <n v="5.2610154999999999E-2"/>
    <n v="8.1037724000000005E-2"/>
    <n v="0.174324547"/>
    <n v="9.8591758000000002E-2"/>
    <n v="0.35395402899999995"/>
    <n v="3.4699833999999999E-2"/>
    <n v="8.5811235999999999E-2"/>
    <n v="1.1996491E-2"/>
    <n v="7.1099099999999997E-3"/>
    <n v="2.084785E-3"/>
  </r>
  <r>
    <x v="213"/>
    <x v="110"/>
    <n v="4.8342515000000003E-2"/>
    <n v="5.3308232999999997E-2"/>
    <n v="7.7639369999999999E-2"/>
    <n v="0.18134515400000001"/>
    <n v="9.9204174000000006E-2"/>
    <n v="0.35818869799999997"/>
    <n v="2.8697901000000001E-2"/>
    <n v="7.8717066000000002E-2"/>
    <n v="9.4846199999999992E-3"/>
    <n v="1.852701E-2"/>
    <n v="7.7311819999999996E-3"/>
  </r>
  <r>
    <x v="214"/>
    <x v="111"/>
    <n v="4.6698875000000001E-2"/>
    <n v="6.9332642999999999E-2"/>
    <n v="4.8458846999999999E-2"/>
    <n v="0.203370205"/>
    <n v="8.5828823999999998E-2"/>
    <n v="0.33765787599999997"/>
    <n v="3.6349894000000001E-2"/>
    <n v="7.0617866000000001E-2"/>
    <n v="2.6229203E-2"/>
    <n v="2.6517471000000001E-2"/>
    <n v="7.3671780000000003E-3"/>
  </r>
  <r>
    <x v="215"/>
    <x v="1"/>
    <n v="3.0020801E-2"/>
    <n v="6.6083237000000003E-2"/>
    <n v="6.6576040000000003E-2"/>
    <n v="0.142889184"/>
    <n v="9.8233637999999998E-2"/>
    <n v="0.30769886200000002"/>
    <n v="4.4310046999999998E-2"/>
    <n v="7.4760756999999997E-2"/>
    <n v="2.0234292000000001E-2"/>
    <n v="2.0193565E-2"/>
    <n v="1.8262335000000001E-2"/>
  </r>
  <r>
    <x v="216"/>
    <x v="112"/>
    <n v="5.2771400000000003E-2"/>
    <n v="6.0040140999999998E-2"/>
    <n v="8.0462642000000001E-2"/>
    <n v="0.16846288100000001"/>
    <n v="0.10252146299999999"/>
    <n v="0.35144698600000002"/>
    <n v="3.5818946999999997E-2"/>
    <n v="6.9157324000000006E-2"/>
    <n v="2.1255804999999999E-2"/>
    <n v="2.6442078000000001E-2"/>
    <n v="1.3132479000000001E-2"/>
  </r>
  <r>
    <x v="217"/>
    <x v="113"/>
    <n v="5.1391128000000001E-2"/>
    <n v="2.3017863999999999E-2"/>
    <n v="6.2108370000000003E-2"/>
    <n v="0.15379717300000001"/>
    <n v="0.11892396199999999"/>
    <n v="0.33482950499999997"/>
    <n v="4.3626715000000003E-2"/>
    <n v="9.4079134999999994E-2"/>
    <n v="1.2879784999999999E-2"/>
    <n v="3.9611424999999999E-2"/>
    <n v="1.1493632E-2"/>
  </r>
  <r>
    <x v="218"/>
    <x v="1"/>
    <n v="6.0264185999999997E-2"/>
    <n v="5.4762737999999998E-2"/>
    <n v="7.2764594000000002E-2"/>
    <n v="0.16582509200000001"/>
    <n v="7.8944747999999995E-2"/>
    <n v="0.31753443400000003"/>
    <n v="3.8632260000000002E-2"/>
    <n v="0.107739976"/>
    <n v="3.6652021E-2"/>
    <n v="3.4114347000000003E-2"/>
    <n v="1.2386285E-2"/>
  </r>
  <r>
    <x v="219"/>
    <x v="114"/>
    <n v="4.5094764000000002E-2"/>
    <n v="6.8439456999999995E-2"/>
    <n v="0.103687141"/>
    <n v="0.143222444"/>
    <n v="0.106717729"/>
    <n v="0.35362731399999997"/>
    <n v="5.0791709999999997E-2"/>
    <n v="6.8921359000000001E-2"/>
    <n v="1.2435019E-2"/>
    <n v="2.2789516999999999E-2"/>
    <n v="3.7642510000000001E-3"/>
  </r>
  <r>
    <x v="220"/>
    <x v="115"/>
    <n v="2.4462911E-2"/>
    <n v="5.8996637999999997E-2"/>
    <n v="3.6936844000000003E-2"/>
    <n v="0.1453991"/>
    <n v="9.8862775999999999E-2"/>
    <n v="0.28119872000000001"/>
    <n v="4.5068384000000003E-2"/>
    <n v="6.9623597999999995E-2"/>
    <n v="3.8881671999999999E-2"/>
    <n v="2.8406526000000001E-2"/>
    <n v="2.0979353999999999E-2"/>
  </r>
  <r>
    <x v="221"/>
    <x v="1"/>
    <n v="7.7846065000000006E-2"/>
    <n v="2.7366195999999999E-2"/>
    <n v="9.6899337000000002E-2"/>
    <n v="0.187486503"/>
    <n v="9.4207024E-2"/>
    <n v="0.37859286400000003"/>
    <n v="4.9224851999999999E-2"/>
    <n v="0.109006749"/>
    <n v="1.4603588000000001E-2"/>
    <n v="7.5891299999999995E-4"/>
    <n v="0"/>
  </r>
  <r>
    <x v="222"/>
    <x v="1"/>
    <n v="6.3213446000000006E-2"/>
    <n v="6.6440987000000007E-2"/>
    <n v="6.9110811999999994E-2"/>
    <n v="0.17886724200000001"/>
    <n v="8.3199461000000002E-2"/>
    <n v="0.33117751500000003"/>
    <n v="3.3783294999999998E-2"/>
    <n v="9.4707111999999996E-2"/>
    <n v="2.5624813E-2"/>
    <n v="2.5660814000000001E-2"/>
    <n v="3.5748249999999998E-3"/>
  </r>
  <r>
    <x v="223"/>
    <x v="1"/>
    <n v="6.4643706999999995E-2"/>
    <n v="5.7092416E-2"/>
    <n v="4.8198924999999997E-2"/>
    <n v="0.18432175200000001"/>
    <n v="0.11178997"/>
    <n v="0.34431064700000003"/>
    <n v="4.5174412999999997E-2"/>
    <n v="8.6437321999999997E-2"/>
    <n v="3.4651886999999999E-2"/>
    <n v="2.1733837999999998E-2"/>
    <n v="1.7509726999999999E-2"/>
  </r>
  <r>
    <x v="224"/>
    <x v="1"/>
    <n v="4.0744520999999999E-2"/>
    <n v="8.0721846E-2"/>
    <n v="8.1062914E-2"/>
    <n v="0.149396006"/>
    <n v="9.2745480000000005E-2"/>
    <n v="0.3232044"/>
    <n v="3.8361905000000002E-2"/>
    <n v="6.2563487000000001E-2"/>
    <n v="2.7609933999999999E-2"/>
    <n v="3.0854663000000001E-2"/>
    <n v="1.1903110999999999E-2"/>
  </r>
  <r>
    <x v="225"/>
    <x v="116"/>
    <n v="4.2568613999999998E-2"/>
    <n v="4.4056095000000003E-2"/>
    <n v="0.14492180800000001"/>
    <n v="0.153414941"/>
    <n v="0.100359869"/>
    <n v="0.398696618"/>
    <n v="3.8975722999999997E-2"/>
    <n v="3.9530559E-2"/>
    <n v="1.1897423000000001E-2"/>
    <n v="2.2043083000000002E-2"/>
    <n v="8.4252500000000004E-3"/>
  </r>
  <r>
    <x v="226"/>
    <x v="1"/>
    <n v="6.2573168999999998E-2"/>
    <n v="4.2487354999999997E-2"/>
    <n v="8.5386975000000004E-2"/>
    <n v="0.18968589299999999"/>
    <n v="8.9710605999999998E-2"/>
    <n v="0.364783474"/>
    <n v="3.6993458999999999E-2"/>
    <n v="8.4121658000000002E-2"/>
    <n v="1.9519469000000001E-2"/>
    <n v="1.6829304E-2"/>
    <n v="2.2038993E-2"/>
  </r>
  <r>
    <x v="227"/>
    <x v="1"/>
    <n v="6.5879378000000002E-2"/>
    <n v="8.8928375000000004E-2"/>
    <n v="8.3359471000000004E-2"/>
    <n v="0.13027844199999999"/>
    <n v="0.113632329"/>
    <n v="0.32727024199999999"/>
    <n v="2.8137593999999998E-2"/>
    <n v="8.9119195999999998E-2"/>
    <n v="1.6588550000000001E-2"/>
    <n v="3.325368E-3"/>
    <n v="9.7977600000000008E-3"/>
  </r>
  <r>
    <x v="228"/>
    <x v="1"/>
    <n v="7.1482712000000004E-2"/>
    <n v="7.4402583999999994E-2"/>
    <n v="6.2890813000000004E-2"/>
    <n v="0.18294524200000001"/>
    <n v="9.5354174E-2"/>
    <n v="0.34119022900000001"/>
    <n v="3.2980517000000001E-2"/>
    <n v="7.7003403999999998E-2"/>
    <n v="2.7376988000000001E-2"/>
    <n v="1.4840904E-2"/>
    <n v="0"/>
  </r>
  <r>
    <x v="229"/>
    <x v="117"/>
    <n v="4.3845415999999998E-2"/>
    <n v="4.9354746999999997E-2"/>
    <n v="4.3299364E-2"/>
    <n v="0.19941862099999999"/>
    <n v="7.4745383999999998E-2"/>
    <n v="0.317463369"/>
    <n v="2.5655952999999999E-2"/>
    <n v="0.110807954"/>
    <n v="3.7827470000000002E-2"/>
    <n v="1.9438463E-2"/>
    <n v="1.0260679E-2"/>
  </r>
  <r>
    <x v="230"/>
    <x v="118"/>
    <n v="4.1855333000000002E-2"/>
    <n v="4.3292300999999998E-2"/>
    <n v="8.2499113999999998E-2"/>
    <n v="0.16969599299999999"/>
    <n v="8.3113139000000003E-2"/>
    <n v="0.33530824599999998"/>
    <n v="3.6555989999999997E-2"/>
    <n v="3.8226031000000001E-2"/>
    <n v="3.8040526999999998E-2"/>
    <n v="2.1823408999999998E-2"/>
    <n v="1.3616326E-2"/>
  </r>
  <r>
    <x v="231"/>
    <x v="119"/>
    <n v="2.8964505000000002E-2"/>
    <n v="8.6954344000000003E-2"/>
    <n v="0.13520080700000001"/>
    <n v="0.146360554"/>
    <n v="0.113189527"/>
    <n v="0.39475088800000002"/>
    <n v="3.9174235000000002E-2"/>
    <n v="6.9213997999999999E-2"/>
    <n v="4.7555619999999996E-3"/>
    <n v="1.6069396999999999E-2"/>
    <n v="2.8770929999999998E-3"/>
  </r>
  <r>
    <x v="232"/>
    <x v="1"/>
    <n v="4.7700801000000001E-2"/>
    <n v="4.9301883999999997E-2"/>
    <n v="0.12029395599999999"/>
    <n v="0.13310034200000001"/>
    <n v="9.4514531999999998E-2"/>
    <n v="0.34790883"/>
    <n v="2.9500268999999999E-2"/>
    <n v="6.1472038E-2"/>
    <n v="2.8577636999999999E-2"/>
    <n v="2.1905231000000001E-2"/>
    <n v="2.44611E-2"/>
  </r>
  <r>
    <x v="233"/>
    <x v="1"/>
    <n v="5.9953280999999997E-2"/>
    <n v="4.1817302000000001E-2"/>
    <n v="6.1840412999999997E-2"/>
    <n v="0.221284498"/>
    <n v="5.1076304000000003E-2"/>
    <n v="0.334201215"/>
    <n v="3.3182278000000003E-2"/>
    <n v="9.3059506E-2"/>
    <n v="2.6794119000000002E-2"/>
    <n v="3.0042992000000001E-2"/>
    <n v="1.1497459999999999E-2"/>
  </r>
  <r>
    <x v="234"/>
    <x v="120"/>
    <n v="7.1681704999999998E-2"/>
    <n v="6.8908405000000006E-2"/>
    <n v="3.0224786E-2"/>
    <n v="0.22374306199999999"/>
    <n v="9.1342433000000001E-2"/>
    <n v="0.345310281"/>
    <n v="3.3290437999999999E-2"/>
    <n v="9.4647623E-2"/>
    <n v="1.3280882000000001E-2"/>
    <n v="4.2645419999999996E-3"/>
    <n v="9.1317159999999998E-3"/>
  </r>
  <r>
    <x v="235"/>
    <x v="1"/>
    <n v="6.2228660999999998E-2"/>
    <n v="3.7794972000000003E-2"/>
    <n v="0.112655847"/>
    <n v="0.16282774699999999"/>
    <n v="0.102469474"/>
    <n v="0.377953068"/>
    <n v="4.2168253000000003E-2"/>
    <n v="7.6496762999999995E-2"/>
    <n v="1.3428938E-2"/>
    <n v="7.0012360000000001E-3"/>
    <n v="1.0390312000000001E-2"/>
  </r>
  <r>
    <x v="236"/>
    <x v="1"/>
    <n v="4.5618565999999999E-2"/>
    <n v="6.1800913999999998E-2"/>
    <n v="6.3177194000000006E-2"/>
    <n v="0.15966398000000001"/>
    <n v="8.6492781000000005E-2"/>
    <n v="0.30933395500000005"/>
    <n v="3.3281645999999998E-2"/>
    <n v="9.6240507000000003E-2"/>
    <n v="3.3443091000000001E-2"/>
    <n v="3.5805958999999998E-2"/>
    <n v="2.1108525999999999E-2"/>
  </r>
  <r>
    <x v="237"/>
    <x v="121"/>
    <n v="2.8715902000000001E-2"/>
    <n v="7.6033131000000004E-2"/>
    <n v="6.2628311000000006E-2"/>
    <n v="0.17179262000000001"/>
    <n v="0.120290462"/>
    <n v="0.35471139299999999"/>
    <n v="3.0247016000000002E-2"/>
    <n v="8.7908284000000003E-2"/>
    <n v="2.0357928000000001E-2"/>
    <n v="1.3915357E-2"/>
    <n v="2.2270403000000001E-2"/>
  </r>
  <r>
    <x v="238"/>
    <x v="122"/>
    <n v="3.8234734999999999E-2"/>
    <n v="8.5971218000000002E-2"/>
    <n v="4.8926628E-2"/>
    <n v="0.147050403"/>
    <n v="0.12744509600000001"/>
    <n v="0.323422127"/>
    <n v="3.1488464000000001E-2"/>
    <n v="7.3341605000000004E-2"/>
    <n v="2.4289343000000001E-2"/>
    <n v="1.3101719E-2"/>
    <n v="1.2109231E-2"/>
  </r>
  <r>
    <x v="239"/>
    <x v="1"/>
    <n v="7.4140050999999998E-2"/>
    <n v="5.7644607E-2"/>
    <n v="4.5589925000000003E-2"/>
    <n v="0.16988699600000001"/>
    <n v="9.1583549E-2"/>
    <n v="0.30706047000000003"/>
    <n v="3.2580683999999999E-2"/>
    <n v="6.7244327000000007E-2"/>
    <n v="3.3651299000000003E-2"/>
    <n v="9.565077E-3"/>
    <n v="2.6967380000000002E-3"/>
  </r>
  <r>
    <x v="240"/>
    <x v="1"/>
    <n v="5.7737530000000002E-2"/>
    <n v="6.5722543999999994E-2"/>
    <n v="6.3332894000000001E-2"/>
    <n v="0.13903924400000001"/>
    <n v="0.10082123"/>
    <n v="0.30319336800000002"/>
    <n v="3.5080864000000003E-2"/>
    <n v="9.0283655000000004E-2"/>
    <n v="3.1323410000000003E-2"/>
    <n v="7.935269E-3"/>
    <n v="1.8761495E-2"/>
  </r>
  <r>
    <x v="241"/>
    <x v="123"/>
    <n v="4.3972009999999999E-2"/>
    <n v="0"/>
    <n v="0.101771259"/>
    <n v="8.0246643000000006E-2"/>
    <n v="0.112475214"/>
    <n v="0.294493116"/>
    <n v="4.5066107000000001E-2"/>
    <n v="0.14682725299999999"/>
    <n v="2.4707501E-2"/>
    <n v="9.3328119999999994E-3"/>
    <n v="0"/>
  </r>
  <r>
    <x v="242"/>
    <x v="1"/>
    <n v="5.8235194999999997E-2"/>
    <n v="5.8051131999999998E-2"/>
    <n v="6.2239225000000002E-2"/>
    <n v="0.16298328400000001"/>
    <n v="8.2961437999999998E-2"/>
    <n v="0.30818394700000001"/>
    <n v="2.6076243999999998E-2"/>
    <n v="0.100879519"/>
    <n v="2.1457167999999999E-2"/>
    <n v="0"/>
    <n v="9.3455010000000008E-3"/>
  </r>
  <r>
    <x v="243"/>
    <x v="1"/>
    <n v="4.2905934E-2"/>
    <n v="6.2360288E-2"/>
    <n v="5.3686985999999999E-2"/>
    <n v="0.164615182"/>
    <n v="8.7782653000000002E-2"/>
    <n v="0.30608482100000001"/>
    <n v="2.6447135E-2"/>
    <n v="9.6118064000000003E-2"/>
    <n v="2.2174362999999999E-2"/>
    <n v="2.5189070000000001E-2"/>
    <n v="1.2046894000000001E-2"/>
  </r>
  <r>
    <x v="244"/>
    <x v="1"/>
    <n v="4.8637917000000003E-2"/>
    <n v="6.6735041999999994E-2"/>
    <n v="5.6953993000000001E-2"/>
    <n v="0.17757779000000001"/>
    <n v="0.103694991"/>
    <n v="0.33822677400000001"/>
    <n v="3.4758236999999997E-2"/>
    <n v="9.2604298000000002E-2"/>
    <n v="1.7912287999999998E-2"/>
    <n v="2.0034350999999999E-2"/>
    <n v="2.0631342E-2"/>
  </r>
  <r>
    <x v="245"/>
    <x v="124"/>
    <n v="5.6029131000000003E-2"/>
    <n v="8.1206621000000007E-2"/>
    <n v="8.8133860999999994E-2"/>
    <n v="0.14521293199999999"/>
    <n v="0.102383574"/>
    <n v="0.33573036700000003"/>
    <n v="3.2123431000000001E-2"/>
    <n v="8.7872670999999999E-2"/>
    <n v="3.2274685999999997E-2"/>
    <n v="1.4683141E-2"/>
    <n v="1.2473127000000001E-2"/>
  </r>
  <r>
    <x v="246"/>
    <x v="1"/>
    <n v="6.1354051E-2"/>
    <n v="5.8879411999999999E-2"/>
    <n v="6.7989105999999994E-2"/>
    <n v="0.150689987"/>
    <n v="0.101052621"/>
    <n v="0.319731714"/>
    <n v="3.5503866000000002E-2"/>
    <n v="8.5106790000000002E-2"/>
    <n v="2.7565994999999999E-2"/>
    <n v="2.4007128999999999E-2"/>
    <n v="1.7075191999999999E-2"/>
  </r>
  <r>
    <x v="247"/>
    <x v="125"/>
    <n v="4.1001803000000003E-2"/>
    <n v="4.2233339999999996E-3"/>
    <n v="7.0447200000000001E-2"/>
    <n v="0.15329389600000001"/>
    <n v="9.7437181999999997E-2"/>
    <n v="0.32117827800000004"/>
    <n v="3.1295115999999998E-2"/>
    <n v="0.119698342"/>
    <n v="7.0671839999999998E-3"/>
    <n v="3.0515061999999999E-2"/>
    <n v="4.1899750000000003E-3"/>
  </r>
  <r>
    <x v="248"/>
    <x v="126"/>
    <n v="3.1918338999999997E-2"/>
    <n v="3.6757927000000003E-2"/>
    <n v="0.115229496"/>
    <n v="0.14080878799999999"/>
    <n v="0.10044339400000001"/>
    <n v="0.35648167800000002"/>
    <n v="4.4676188999999998E-2"/>
    <n v="6.7726631999999995E-2"/>
    <n v="3.2390269999999999E-2"/>
    <n v="2.1187625000000002E-2"/>
    <n v="6.791058E-3"/>
  </r>
  <r>
    <x v="249"/>
    <x v="1"/>
    <n v="3.0869509999999999E-2"/>
    <n v="6.2082474999999998E-2"/>
    <n v="6.7264806999999996E-2"/>
    <n v="0.16496501399999999"/>
    <n v="8.9590213000000002E-2"/>
    <n v="0.32182003400000003"/>
    <n v="2.9948221000000001E-2"/>
    <n v="9.0462672999999993E-2"/>
    <n v="2.7572279000000002E-2"/>
    <n v="3.5339559E-2"/>
    <n v="1.2894154E-2"/>
  </r>
  <r>
    <x v="250"/>
    <x v="127"/>
    <n v="4.9597758999999998E-2"/>
    <n v="3.2046934999999999E-2"/>
    <n v="6.6242181999999997E-2"/>
    <n v="0.15789990700000001"/>
    <n v="9.4187255999999997E-2"/>
    <n v="0.31832934499999999"/>
    <n v="3.7088707999999998E-2"/>
    <n v="8.3233383999999994E-2"/>
    <n v="1.8141061E-2"/>
    <n v="4.7854299000000003E-2"/>
    <n v="2.6217865999999999E-2"/>
  </r>
  <r>
    <x v="251"/>
    <x v="1"/>
    <n v="8.0711633000000005E-2"/>
    <n v="3.3997281999999997E-2"/>
    <n v="7.1704743000000001E-2"/>
    <n v="0.17144662699999999"/>
    <n v="7.6744094999999998E-2"/>
    <n v="0.31989546499999999"/>
    <n v="3.9845869999999999E-2"/>
    <n v="8.2172961000000003E-2"/>
    <n v="1.1725380000000001E-2"/>
    <n v="1.6051339000000001E-2"/>
    <n v="1.3628483E-2"/>
  </r>
  <r>
    <x v="252"/>
    <x v="128"/>
    <n v="5.3810544000000002E-2"/>
    <n v="7.4212722999999994E-2"/>
    <n v="4.0934726999999997E-2"/>
    <n v="0.15421321800000001"/>
    <n v="8.5668442999999997E-2"/>
    <n v="0.28081638800000003"/>
    <n v="3.5880584E-2"/>
    <n v="5.5779754000000001E-2"/>
    <n v="4.6809840999999998E-2"/>
    <n v="1.0428333E-2"/>
    <n v="1.1942220999999999E-2"/>
  </r>
  <r>
    <x v="253"/>
    <x v="129"/>
    <n v="5.0327548E-2"/>
    <n v="4.1558171999999997E-2"/>
    <n v="6.1423213999999997E-2"/>
    <n v="0.21975529499999999"/>
    <n v="6.9309388999999999E-2"/>
    <n v="0.35048789799999996"/>
    <n v="3.5917055000000003E-2"/>
    <n v="8.8089070000000005E-2"/>
    <n v="2.6184878000000002E-2"/>
    <n v="3.3571785E-2"/>
    <n v="1.7305688E-2"/>
  </r>
  <r>
    <x v="254"/>
    <x v="130"/>
    <n v="3.2389816000000002E-2"/>
    <n v="0.14842825900000001"/>
    <n v="7.4202870000000004E-2"/>
    <n v="0.13327840099999999"/>
    <n v="0.119779305"/>
    <n v="0.32726057600000003"/>
    <n v="3.4586725999999998E-2"/>
    <n v="6.7326806000000003E-2"/>
    <n v="1.4211609E-2"/>
    <n v="1.5481689999999999E-2"/>
    <n v="9.5984550000000005E-3"/>
  </r>
  <r>
    <x v="255"/>
    <x v="131"/>
    <n v="3.1108572000000001E-2"/>
    <n v="9.8582595999999995E-2"/>
    <n v="5.9959829999999999E-2"/>
    <n v="0.10554332900000001"/>
    <n v="0.116025035"/>
    <n v="0.28152819400000001"/>
    <n v="4.2267685999999999E-2"/>
    <n v="5.2796968E-2"/>
    <n v="2.6620596E-2"/>
    <n v="1.4568935E-2"/>
    <n v="1.4953757999999999E-2"/>
  </r>
  <r>
    <x v="256"/>
    <x v="1"/>
    <n v="5.2460461E-2"/>
    <n v="6.7923412000000002E-2"/>
    <n v="6.2244832E-2"/>
    <n v="0.167042158"/>
    <n v="0.111213782"/>
    <n v="0.34050077200000001"/>
    <n v="3.4355824E-2"/>
    <n v="4.5972807999999997E-2"/>
    <n v="1.2479090999999999E-2"/>
    <n v="2.1492059000000001E-2"/>
    <n v="2.0511829999999998E-3"/>
  </r>
  <r>
    <x v="257"/>
    <x v="1"/>
    <n v="4.3520007999999999E-2"/>
    <n v="5.7073469000000002E-2"/>
    <n v="7.1004640999999993E-2"/>
    <n v="0.13787194699999999"/>
    <n v="9.8740148999999999E-2"/>
    <n v="0.30761673699999997"/>
    <n v="3.1864671999999997E-2"/>
    <n v="9.7880253E-2"/>
    <n v="1.6838868E-2"/>
    <n v="6.8314439999999999E-3"/>
    <n v="1.4590802E-2"/>
  </r>
  <r>
    <x v="258"/>
    <x v="1"/>
    <n v="6.2925705999999998E-2"/>
    <n v="6.3326836999999997E-2"/>
    <n v="5.3248852999999999E-2"/>
    <n v="0.153331629"/>
    <n v="0.115829052"/>
    <n v="0.322409534"/>
    <n v="3.6266092999999999E-2"/>
    <n v="8.5371318000000002E-2"/>
    <n v="1.7493274999999999E-2"/>
    <n v="2.1986371000000001E-2"/>
    <n v="8.4331149999999997E-3"/>
  </r>
  <r>
    <x v="259"/>
    <x v="1"/>
    <n v="7.7856833E-2"/>
    <n v="6.3878501000000004E-2"/>
    <n v="9.5704546000000001E-2"/>
    <n v="0.12743132700000001"/>
    <n v="0.107476319"/>
    <n v="0.33061219200000003"/>
    <n v="3.2346895000000001E-2"/>
    <n v="5.5951091000000001E-2"/>
    <n v="1.0884292E-2"/>
    <n v="3.995348E-2"/>
    <n v="1.1460803E-2"/>
  </r>
  <r>
    <x v="260"/>
    <x v="1"/>
    <n v="5.0096978E-2"/>
    <n v="7.5827669E-2"/>
    <n v="6.4585649999999994E-2"/>
    <n v="0.12738522499999999"/>
    <n v="0.108146995"/>
    <n v="0.30011787000000001"/>
    <n v="5.4965625999999997E-2"/>
    <n v="8.9676183000000007E-2"/>
    <n v="4.0983558000000003E-2"/>
    <n v="1.2003651000000001E-2"/>
    <n v="1.3528544E-2"/>
  </r>
  <r>
    <x v="261"/>
    <x v="1"/>
    <n v="5.2527984E-2"/>
    <n v="6.6414393000000002E-2"/>
    <n v="8.0120149000000002E-2"/>
    <n v="0.15599189599999999"/>
    <n v="8.2664591999999995E-2"/>
    <n v="0.31877663699999997"/>
    <n v="3.3686313000000002E-2"/>
    <n v="7.5466759999999994E-2"/>
    <n v="1.9148294999999999E-2"/>
    <n v="1.6508037999999999E-2"/>
    <n v="1.3798523E-2"/>
  </r>
  <r>
    <x v="262"/>
    <x v="132"/>
    <n v="6.1230369999999999E-2"/>
    <n v="7.9273434000000004E-2"/>
    <n v="3.3582041E-2"/>
    <n v="0.168730515"/>
    <n v="0.12220376500000001"/>
    <n v="0.324516321"/>
    <n v="4.0938523999999997E-2"/>
    <n v="8.5582252999999997E-2"/>
    <n v="2.3567751000000001E-2"/>
    <n v="9.4229459999999998E-3"/>
    <n v="1.4926712999999999E-2"/>
  </r>
  <r>
    <x v="263"/>
    <x v="1"/>
    <n v="7.0389014E-2"/>
    <n v="0.103687504"/>
    <n v="2.9015707000000002E-2"/>
    <n v="0.15382968399999999"/>
    <n v="0.11646057999999999"/>
    <n v="0.299305971"/>
    <n v="3.8458896999999999E-2"/>
    <n v="7.3940088000000001E-2"/>
    <n v="2.6714307999999999E-2"/>
    <n v="6.7240549999999996E-3"/>
    <n v="1.0960278E-2"/>
  </r>
  <r>
    <x v="264"/>
    <x v="1"/>
    <n v="7.8694144999999993E-2"/>
    <n v="0.10649399"/>
    <n v="7.4478284000000006E-2"/>
    <n v="0.11064452499999999"/>
    <n v="9.9221288000000005E-2"/>
    <n v="0.28434409700000002"/>
    <n v="4.2018769999999997E-2"/>
    <n v="8.5741990000000004E-2"/>
    <n v="3.3688030000000001E-2"/>
    <n v="0"/>
    <n v="2.3208060999999999E-2"/>
  </r>
  <r>
    <x v="265"/>
    <x v="1"/>
    <n v="4.2435469000000003E-2"/>
    <n v="7.9066115000000006E-2"/>
    <n v="0.15113154500000001"/>
    <n v="0.16364635499999999"/>
    <n v="0.10401035"/>
    <n v="0.41878824999999997"/>
    <n v="4.3495894E-2"/>
    <n v="4.2684238999999999E-2"/>
    <n v="1.9078654E-2"/>
    <n v="3.4022840000000002E-3"/>
    <n v="0"/>
  </r>
  <r>
    <x v="266"/>
    <x v="133"/>
    <n v="1.7096621999999999E-2"/>
    <n v="7.1590058999999998E-2"/>
    <n v="0.14019985099999999"/>
    <n v="0.13223517300000001"/>
    <n v="0.12370724900000001"/>
    <n v="0.39614227299999999"/>
    <n v="3.4803859999999999E-2"/>
    <n v="6.4702703E-2"/>
    <n v="1.7313143E-2"/>
    <n v="2.4861613000000001E-2"/>
    <n v="6.073185E-3"/>
  </r>
  <r>
    <x v="267"/>
    <x v="134"/>
    <n v="4.8731613999999999E-2"/>
    <n v="2.206089E-2"/>
    <n v="8.8969874000000004E-2"/>
    <n v="0.17371128799999999"/>
    <n v="0.113340095"/>
    <n v="0.376021257"/>
    <n v="3.3041905000000003E-2"/>
    <n v="7.3017779000000005E-2"/>
    <n v="1.2979886E-2"/>
    <n v="3.5039564000000002E-2"/>
    <n v="1.316729E-3"/>
  </r>
  <r>
    <x v="268"/>
    <x v="135"/>
    <n v="5.9144508999999998E-2"/>
    <n v="8.2356573000000002E-2"/>
    <n v="5.9056654E-2"/>
    <n v="0.14821312"/>
    <n v="0.122514234"/>
    <n v="0.32978400800000002"/>
    <n v="3.1099074000000001E-2"/>
    <n v="8.9963848999999999E-2"/>
    <n v="2.5909967999999999E-2"/>
    <n v="1.4022254E-2"/>
    <n v="0"/>
  </r>
  <r>
    <x v="269"/>
    <x v="136"/>
    <n v="3.5884010000000001E-2"/>
    <n v="0.10499657900000001"/>
    <n v="2.3324674E-2"/>
    <n v="0.11865329099999999"/>
    <n v="0.12105138"/>
    <n v="0.26302934499999997"/>
    <n v="2.2887932999999999E-2"/>
    <n v="8.5332620999999997E-2"/>
    <n v="3.8520857999999998E-2"/>
    <n v="9.7901559999999995E-3"/>
    <n v="9.2368810000000006E-3"/>
  </r>
  <r>
    <x v="270"/>
    <x v="137"/>
    <n v="4.2189931999999999E-2"/>
    <n v="6.3819032999999997E-2"/>
    <n v="0.118912211"/>
    <n v="0.15202031899999999"/>
    <n v="0.10974294800000001"/>
    <n v="0.38067547800000001"/>
    <n v="4.2126291000000003E-2"/>
    <n v="4.3549524999999999E-2"/>
    <n v="2.3902240000000002E-2"/>
    <n v="9.0082960000000007E-3"/>
    <n v="2.5908559999999999E-3"/>
  </r>
  <r>
    <x v="271"/>
    <x v="138"/>
    <n v="3.0839116E-2"/>
    <n v="7.5463840000000004E-2"/>
    <n v="3.8166533000000002E-2"/>
    <n v="0.11909093699999999"/>
    <n v="0.11818912299999999"/>
    <n v="0.27544659300000002"/>
    <n v="3.5210496000000001E-2"/>
    <n v="7.9458107E-2"/>
    <n v="1.629123E-2"/>
    <n v="2.4451739E-2"/>
    <n v="1.4226961999999999E-2"/>
  </r>
  <r>
    <x v="272"/>
    <x v="1"/>
    <n v="3.3067267999999997E-2"/>
    <n v="5.3841998000000002E-2"/>
    <n v="4.0627097000000001E-2"/>
    <n v="0.17643494100000001"/>
    <n v="8.1078804000000004E-2"/>
    <n v="0.29814084200000002"/>
    <n v="3.7633575000000002E-2"/>
    <n v="0.10991676"/>
    <n v="3.2437055999999999E-2"/>
    <n v="3.6781425999999999E-2"/>
    <n v="1.7161342E-2"/>
  </r>
  <r>
    <x v="273"/>
    <x v="1"/>
    <n v="4.8395791000000001E-2"/>
    <n v="7.3840618999999996E-2"/>
    <n v="8.9509053000000005E-2"/>
    <n v="0.163634424"/>
    <n v="0.105401068"/>
    <n v="0.35854454499999999"/>
    <n v="3.6649763000000002E-2"/>
    <n v="6.1035409999999998E-2"/>
    <n v="1.8631833E-2"/>
    <n v="3.4900637999999998E-2"/>
    <n v="0"/>
  </r>
  <r>
    <x v="274"/>
    <x v="1"/>
    <n v="5.2897668000000002E-2"/>
    <n v="5.7472756E-2"/>
    <n v="9.5768829E-2"/>
    <n v="0.165248595"/>
    <n v="9.2933354999999995E-2"/>
    <n v="0.35395077899999999"/>
    <n v="3.8302932999999997E-2"/>
    <n v="6.2386325999999999E-2"/>
    <n v="2.5974773E-2"/>
    <n v="2.6667836E-2"/>
    <n v="3.4469380000000001E-3"/>
  </r>
  <r>
    <x v="275"/>
    <x v="1"/>
    <n v="5.0308783000000003E-2"/>
    <n v="6.4074642000000001E-2"/>
    <n v="5.7092677000000001E-2"/>
    <n v="0.15941596999999999"/>
    <n v="8.0591271000000006E-2"/>
    <n v="0.29709991800000002"/>
    <n v="3.2413347000000002E-2"/>
    <n v="9.6713754999999998E-2"/>
    <n v="1.9474330000000002E-2"/>
    <n v="2.1921092999999999E-2"/>
    <n v="1.8519490999999999E-2"/>
  </r>
  <r>
    <x v="276"/>
    <x v="1"/>
    <n v="5.2075128999999998E-2"/>
    <n v="7.2717441999999993E-2"/>
    <n v="9.2683711000000002E-2"/>
    <n v="0.15378628799999999"/>
    <n v="8.2332372000000001E-2"/>
    <n v="0.32880237099999998"/>
    <n v="2.565953E-2"/>
    <n v="3.7876897999999999E-2"/>
    <n v="2.6195586E-2"/>
    <n v="1.8730103000000001E-2"/>
    <n v="4.4590799999999998E-3"/>
  </r>
  <r>
    <x v="277"/>
    <x v="1"/>
    <n v="5.7236821E-2"/>
    <n v="4.9569361999999999E-2"/>
    <n v="6.1706839999999999E-2"/>
    <n v="0.16011848100000001"/>
    <n v="0.10386883"/>
    <n v="0.32569415099999999"/>
    <n v="2.9894833999999999E-2"/>
    <n v="9.9692857999999995E-2"/>
    <n v="2.4178623999999999E-2"/>
    <n v="1.5121684999999999E-2"/>
    <n v="1.9405959E-2"/>
  </r>
  <r>
    <x v="278"/>
    <x v="1"/>
    <n v="6.6593824999999995E-2"/>
    <n v="2.6589030999999999E-2"/>
    <n v="7.2030106999999996E-2"/>
    <n v="0.188168848"/>
    <n v="9.4683291000000003E-2"/>
    <n v="0.35488224600000001"/>
    <n v="4.2349347000000002E-2"/>
    <n v="8.3090366999999998E-2"/>
    <n v="2.5980288000000001E-2"/>
    <n v="3.5050236999999998E-2"/>
    <n v="1.6593507E-2"/>
  </r>
  <r>
    <x v="279"/>
    <x v="1"/>
    <n v="6.7471568999999995E-2"/>
    <n v="5.1633756000000003E-2"/>
    <n v="0.13253327500000001"/>
    <n v="0.18959685900000001"/>
    <n v="9.8896367999999998E-2"/>
    <n v="0.42102650200000002"/>
    <n v="3.2110197E-2"/>
    <n v="8.5269716999999995E-2"/>
    <n v="9.6145139999999994E-3"/>
    <n v="0"/>
    <n v="1.17E-5"/>
  </r>
  <r>
    <x v="280"/>
    <x v="1"/>
    <n v="6.1374331999999997E-2"/>
    <n v="7.4798368000000004E-2"/>
    <n v="7.4437921000000004E-2"/>
    <n v="0.12981226100000001"/>
    <n v="8.8629243999999996E-2"/>
    <n v="0.292879426"/>
    <n v="2.5089362E-2"/>
    <n v="8.1435059000000004E-2"/>
    <n v="2.5245389E-2"/>
    <n v="0"/>
    <n v="0"/>
  </r>
  <r>
    <x v="281"/>
    <x v="139"/>
    <n v="3.1817772000000001E-2"/>
    <n v="7.9033099999999995E-2"/>
    <n v="5.5172855999999999E-2"/>
    <n v="0.172567946"/>
    <n v="0.124147838"/>
    <n v="0.35188863999999997"/>
    <n v="4.6198257999999999E-2"/>
    <n v="6.8363706999999996E-2"/>
    <n v="2.0526971000000001E-2"/>
    <n v="3.2973914999999999E-2"/>
    <n v="1.1515600000000001E-2"/>
  </r>
  <r>
    <x v="282"/>
    <x v="1"/>
    <n v="5.8560454999999997E-2"/>
    <n v="2.4343943999999999E-2"/>
    <n v="7.1904009000000005E-2"/>
    <n v="0.153350924"/>
    <n v="0.10246445"/>
    <n v="0.32771938299999998"/>
    <n v="4.0023629999999998E-2"/>
    <n v="7.9339282999999997E-2"/>
    <n v="4.3413139000000003E-2"/>
    <n v="3.0896361000000001E-2"/>
    <n v="1.0795762E-2"/>
  </r>
  <r>
    <x v="283"/>
    <x v="1"/>
    <n v="6.8566510999999997E-2"/>
    <n v="5.3202450999999998E-2"/>
    <n v="3.7635091000000002E-2"/>
    <n v="0.203757941"/>
    <n v="8.7456623999999997E-2"/>
    <n v="0.32884965599999999"/>
    <n v="4.4662084999999997E-2"/>
    <n v="6.3969362000000002E-2"/>
    <n v="4.0962506000000003E-2"/>
    <n v="1.0183486E-2"/>
    <n v="3.6695239999999997E-2"/>
  </r>
  <r>
    <x v="284"/>
    <x v="140"/>
    <n v="4.9681503000000002E-2"/>
    <n v="4.7030692999999998E-2"/>
    <n v="7.4573096000000005E-2"/>
    <n v="0.19722319399999999"/>
    <n v="9.3235588999999994E-2"/>
    <n v="0.365031879"/>
    <n v="3.031851E-2"/>
    <n v="8.3399940000000006E-2"/>
    <n v="2.9093804000000001E-2"/>
    <n v="2.1617286999999999E-2"/>
    <n v="1.5500943999999999E-2"/>
  </r>
  <r>
    <x v="285"/>
    <x v="1"/>
    <n v="5.5120690999999999E-2"/>
    <n v="6.0027935999999997E-2"/>
    <n v="5.5155346000000001E-2"/>
    <n v="0.13780548100000001"/>
    <n v="9.7461879000000001E-2"/>
    <n v="0.29042270599999997"/>
    <n v="2.9632828999999999E-2"/>
    <n v="8.9464006999999998E-2"/>
    <n v="1.9008715999999998E-2"/>
    <n v="1.3556234E-2"/>
    <n v="1.7871832000000001E-2"/>
  </r>
  <r>
    <x v="286"/>
    <x v="141"/>
    <n v="4.7809402000000001E-2"/>
    <n v="6.8730604000000001E-2"/>
    <n v="7.6874188999999996E-2"/>
    <n v="0.175722986"/>
    <n v="7.8912725000000003E-2"/>
    <n v="0.33150990000000002"/>
    <n v="3.1392801999999997E-2"/>
    <n v="3.8838414000000002E-2"/>
    <n v="3.9412278000000002E-2"/>
    <n v="1.7823037999999999E-2"/>
    <n v="3.6142930000000002E-3"/>
  </r>
  <r>
    <x v="287"/>
    <x v="1"/>
    <n v="4.9428304999999999E-2"/>
    <n v="7.5939128999999994E-2"/>
    <n v="6.2496400000000001E-2"/>
    <n v="0.16723990599999999"/>
    <n v="0.102236532"/>
    <n v="0.33197283799999999"/>
    <n v="2.6559912000000001E-2"/>
    <n v="9.7257598000000001E-2"/>
    <n v="2.4729627000000001E-2"/>
    <n v="0"/>
    <n v="2.1720389E-2"/>
  </r>
  <r>
    <x v="288"/>
    <x v="142"/>
    <n v="3.8489065000000003E-2"/>
    <n v="7.3851396E-2"/>
    <n v="8.9530632999999998E-2"/>
    <n v="0.14812286799999999"/>
    <n v="9.0407122000000006E-2"/>
    <n v="0.328060623"/>
    <n v="2.9107612000000001E-2"/>
    <n v="3.4287577E-2"/>
    <n v="2.2938295000000001E-2"/>
    <n v="2.7569354000000001E-2"/>
    <n v="1.5155259999999999E-3"/>
  </r>
  <r>
    <x v="289"/>
    <x v="143"/>
    <n v="2.8706822E-2"/>
    <n v="9.9024219999999996E-2"/>
    <n v="0.12657980499999999"/>
    <n v="0.13279074499999999"/>
    <n v="9.9685807000000001E-2"/>
    <n v="0.35905635699999999"/>
    <n v="3.9292262000000001E-2"/>
    <n v="4.9075822999999998E-2"/>
    <n v="1.7514031999999999E-2"/>
    <n v="2.1605223999999999E-2"/>
    <n v="1.7650362999999999E-2"/>
  </r>
  <r>
    <x v="290"/>
    <x v="144"/>
    <n v="5.0818976000000002E-2"/>
    <n v="4.1921355E-2"/>
    <n v="6.1440541000000001E-2"/>
    <n v="0.15042059699999999"/>
    <n v="8.6397155000000003E-2"/>
    <n v="0.29825829300000001"/>
    <n v="3.3564053000000003E-2"/>
    <n v="8.6460864999999998E-2"/>
    <n v="1.8856067000000001E-2"/>
    <n v="2.0618633000000001E-2"/>
    <n v="2.4513355000000001E-2"/>
  </r>
  <r>
    <x v="291"/>
    <x v="145"/>
    <n v="3.0594258999999999E-2"/>
    <n v="0.128267574"/>
    <n v="7.1104806000000007E-2"/>
    <n v="0.13571786299999999"/>
    <n v="0.12178415099999999"/>
    <n v="0.32860682000000002"/>
    <n v="4.2993122000000002E-2"/>
    <n v="9.7845422000000001E-2"/>
    <n v="2.3097684E-2"/>
    <n v="8.4476840000000004E-3"/>
    <n v="0"/>
  </r>
  <r>
    <x v="292"/>
    <x v="146"/>
    <n v="4.6811090999999999E-2"/>
    <n v="7.5707774000000005E-2"/>
    <n v="0.13319951599999999"/>
    <n v="0.16341856099999999"/>
    <n v="0.11630889599999999"/>
    <n v="0.41292697299999997"/>
    <n v="2.2407386000000001E-2"/>
    <n v="6.3728525999999994E-2"/>
    <n v="8.8339419999999991E-3"/>
    <n v="1.4523383000000001E-2"/>
    <n v="3.5857799999999998E-3"/>
  </r>
  <r>
    <x v="293"/>
    <x v="147"/>
    <n v="5.2294091000000001E-2"/>
    <n v="7.7209247999999994E-2"/>
    <n v="6.5703629999999999E-2"/>
    <n v="0.16577404500000001"/>
    <n v="0.123223211"/>
    <n v="0.35470088599999999"/>
    <n v="2.8772687000000002E-2"/>
    <n v="9.7018793000000006E-2"/>
    <n v="1.1864624000000001E-2"/>
    <n v="0"/>
    <n v="6.4749969999999997E-3"/>
  </r>
  <r>
    <x v="294"/>
    <x v="1"/>
    <n v="6.4138807000000006E-2"/>
    <n v="7.5604299E-2"/>
    <n v="8.0535159999999995E-2"/>
    <n v="0.190206824"/>
    <n v="6.5790956999999997E-2"/>
    <n v="0.33653294099999997"/>
    <n v="1.4754695E-2"/>
    <n v="4.7486779999999999E-2"/>
    <n v="2.8388166999999999E-2"/>
    <n v="2.2372257E-2"/>
    <n v="8.7522900000000005E-4"/>
  </r>
  <r>
    <x v="295"/>
    <x v="1"/>
    <n v="5.1000983E-2"/>
    <n v="5.0827853999999999E-2"/>
    <n v="9.5254310999999994E-2"/>
    <n v="0.15827343699999999"/>
    <n v="9.7793176999999995E-2"/>
    <n v="0.35132092500000001"/>
    <n v="2.8249588999999999E-2"/>
    <n v="0.105917733"/>
    <n v="1.4916595E-2"/>
    <n v="5.2037719999999997E-3"/>
    <n v="1.2326726E-2"/>
  </r>
  <r>
    <x v="296"/>
    <x v="1"/>
    <n v="6.1142941999999999E-2"/>
    <n v="5.2905540000000001E-2"/>
    <n v="5.7921904000000003E-2"/>
    <n v="0.152474148"/>
    <n v="8.9464450000000001E-2"/>
    <n v="0.29986050200000003"/>
    <n v="2.9732114E-2"/>
    <n v="0.106405469"/>
    <n v="3.2487078000000003E-2"/>
    <n v="1.5398139999999999E-2"/>
    <n v="2.0665579999999999E-2"/>
  </r>
  <r>
    <x v="297"/>
    <x v="148"/>
    <n v="3.1453374999999999E-2"/>
    <n v="9.7781407000000001E-2"/>
    <n v="6.0219010000000003E-2"/>
    <n v="0.14677233100000001"/>
    <n v="0.10688357599999999"/>
    <n v="0.31387491699999998"/>
    <n v="2.6561274999999999E-2"/>
    <n v="8.4234944000000006E-2"/>
    <n v="1.8092627999999999E-2"/>
    <n v="1.9137570999999999E-2"/>
    <n v="2.023865E-2"/>
  </r>
  <r>
    <x v="298"/>
    <x v="1"/>
    <n v="4.3821719000000002E-2"/>
    <n v="8.8761649999999997E-2"/>
    <n v="6.9744344E-2"/>
    <n v="0.11734270099999999"/>
    <n v="9.7887770999999998E-2"/>
    <n v="0.28497481600000002"/>
    <n v="3.1955272999999999E-2"/>
    <n v="8.1458588999999998E-2"/>
    <n v="2.4215385999999998E-2"/>
    <n v="3.5015254000000003E-2"/>
    <n v="1.3164240000000001E-2"/>
  </r>
  <r>
    <x v="299"/>
    <x v="1"/>
    <n v="4.6860288999999999E-2"/>
    <n v="2.8078626999999998E-2"/>
    <n v="6.6840847999999994E-2"/>
    <n v="0.192434893"/>
    <n v="9.2349895000000001E-2"/>
    <n v="0.35162563600000002"/>
    <n v="3.7381258000000001E-2"/>
    <n v="8.5907057999999994E-2"/>
    <n v="1.4285388E-2"/>
    <n v="2.0864184000000001E-2"/>
    <n v="5.699969E-3"/>
  </r>
  <r>
    <x v="300"/>
    <x v="1"/>
    <n v="5.6414434999999999E-2"/>
    <n v="3.9054370999999997E-2"/>
    <n v="8.4164092999999995E-2"/>
    <n v="0.181720733"/>
    <n v="0.118474919"/>
    <n v="0.38435974499999997"/>
    <n v="4.3479005000000001E-2"/>
    <n v="9.0370783999999996E-2"/>
    <n v="1.5594389E-2"/>
    <n v="1.4637791000000001E-2"/>
    <n v="2.4696409999999999E-3"/>
  </r>
  <r>
    <x v="301"/>
    <x v="1"/>
    <n v="5.5325331999999998E-2"/>
    <n v="3.5416833000000002E-2"/>
    <n v="9.8798039000000004E-2"/>
    <n v="0.22393877500000001"/>
    <n v="5.2845090999999997E-2"/>
    <n v="0.37558190499999999"/>
    <n v="4.5635140999999997E-2"/>
    <n v="4.7187346999999998E-2"/>
    <n v="1.9994130999999998E-2"/>
    <n v="2.8133277000000002E-2"/>
    <n v="9.9445269999999999E-3"/>
  </r>
  <r>
    <x v="302"/>
    <x v="1"/>
    <n v="6.3280315000000004E-2"/>
    <n v="7.0228646000000006E-2"/>
    <n v="4.1137636999999998E-2"/>
    <n v="0.17207673800000001"/>
    <n v="8.1902085999999999E-2"/>
    <n v="0.295116461"/>
    <n v="3.0559587999999999E-2"/>
    <n v="8.0863233000000007E-2"/>
    <n v="2.2604978000000001E-2"/>
    <n v="2.0809729999999999E-2"/>
    <n v="1.8660225999999999E-2"/>
  </r>
  <r>
    <x v="303"/>
    <x v="149"/>
    <n v="5.6371673999999997E-2"/>
    <n v="7.5285368000000005E-2"/>
    <n v="0.11658515699999999"/>
    <n v="0.18450588100000001"/>
    <n v="9.4660989000000001E-2"/>
    <n v="0.39575202700000001"/>
    <n v="4.1069966999999999E-2"/>
    <n v="4.9498172E-2"/>
    <n v="1.2781439E-2"/>
    <n v="1.5945115999999999E-2"/>
    <n v="5.8903419999999998E-3"/>
  </r>
  <r>
    <x v="304"/>
    <x v="1"/>
    <n v="6.0715078999999998E-2"/>
    <n v="6.7570796000000002E-2"/>
    <n v="8.9508342000000005E-2"/>
    <n v="0.11968039699999999"/>
    <n v="0.102531973"/>
    <n v="0.31172071200000001"/>
    <n v="2.0005469000000001E-2"/>
    <n v="0.110239054"/>
    <n v="1.7151783E-2"/>
    <n v="1.1061216E-2"/>
    <n v="1.3867030000000001E-2"/>
  </r>
  <r>
    <x v="305"/>
    <x v="1"/>
    <n v="5.9839968E-2"/>
    <n v="8.4375482000000002E-2"/>
    <n v="7.8035040999999999E-2"/>
    <n v="0.16181146399999999"/>
    <n v="9.7642551999999994E-2"/>
    <n v="0.33748905699999998"/>
    <n v="3.5037709E-2"/>
    <n v="8.0762830999999993E-2"/>
    <n v="2.8651611E-2"/>
    <n v="1.9205102000000002E-2"/>
    <n v="5.3742909999999998E-3"/>
  </r>
  <r>
    <x v="306"/>
    <x v="150"/>
    <n v="4.3864647E-2"/>
    <n v="6.4548939E-2"/>
    <n v="7.1262346000000004E-2"/>
    <n v="0.17037527099999999"/>
    <n v="0.11013366300000001"/>
    <n v="0.35177128000000002"/>
    <n v="3.0818795999999999E-2"/>
    <n v="7.5249070000000001E-2"/>
    <n v="1.5554208E-2"/>
    <n v="1.9842083999999999E-2"/>
    <n v="1.9007369E-2"/>
  </r>
  <r>
    <x v="307"/>
    <x v="151"/>
    <n v="4.4882876000000002E-2"/>
    <n v="5.9437146000000003E-2"/>
    <n v="7.9875744999999998E-2"/>
    <n v="0.168842145"/>
    <n v="7.8595796999999995E-2"/>
    <n v="0.32731368699999996"/>
    <n v="2.7663448E-2"/>
    <n v="7.1034397999999999E-2"/>
    <n v="3.5188101999999999E-2"/>
    <n v="1.9744645000000002E-2"/>
    <n v="1.301352E-3"/>
  </r>
  <r>
    <x v="308"/>
    <x v="152"/>
    <n v="3.8740359000000002E-2"/>
    <n v="9.502932E-2"/>
    <n v="3.0976607E-2"/>
    <n v="0.17930356"/>
    <n v="0.101827446"/>
    <n v="0.31210761300000001"/>
    <n v="2.6147574999999999E-2"/>
    <n v="8.5445403000000003E-2"/>
    <n v="3.1557463000000001E-2"/>
    <n v="1.8157281000000001E-2"/>
    <n v="1.3827611E-2"/>
  </r>
  <r>
    <x v="309"/>
    <x v="153"/>
    <n v="3.5455300000000002E-2"/>
    <n v="0.113072722"/>
    <n v="0.117753146"/>
    <n v="0.163527177"/>
    <n v="0.12378252200000001"/>
    <n v="0.405062845"/>
    <n v="4.0648823000000001E-2"/>
    <n v="8.1721000000000002E-2"/>
    <n v="1.810482E-3"/>
    <n v="5.8051939999999996E-3"/>
    <n v="0"/>
  </r>
  <r>
    <x v="310"/>
    <x v="1"/>
    <n v="6.3992244000000004E-2"/>
    <n v="5.3366005000000001E-2"/>
    <n v="7.7877907999999996E-2"/>
    <n v="0.14947623800000001"/>
    <n v="0.111232342"/>
    <n v="0.33858648800000002"/>
    <n v="3.1792018999999998E-2"/>
    <n v="6.7901142999999997E-2"/>
    <n v="4.8439755000000001E-2"/>
    <n v="0"/>
    <n v="1.3207674000000001E-2"/>
  </r>
  <r>
    <x v="311"/>
    <x v="1"/>
    <n v="6.1229265999999997E-2"/>
    <n v="5.5115562E-2"/>
    <n v="6.6694868000000004E-2"/>
    <n v="0.17924567599999999"/>
    <n v="9.6273431000000007E-2"/>
    <n v="0.342213975"/>
    <n v="4.7739275999999997E-2"/>
    <n v="6.0966062000000001E-2"/>
    <n v="3.0603900000000001E-3"/>
    <n v="2.0549458999999999E-2"/>
    <n v="0"/>
  </r>
  <r>
    <x v="312"/>
    <x v="1"/>
    <n v="4.9175919999999998E-2"/>
    <n v="6.6346642999999997E-2"/>
    <n v="6.0212441999999998E-2"/>
    <n v="0.158923538"/>
    <n v="9.2509043999999999E-2"/>
    <n v="0.31164502399999999"/>
    <n v="3.0702114999999999E-2"/>
    <n v="8.0953310000000001E-2"/>
    <n v="3.6555783000000001E-2"/>
    <n v="2.9130987000000001E-2"/>
    <n v="2.5743200000000001E-2"/>
  </r>
  <r>
    <x v="313"/>
    <x v="1"/>
    <n v="6.1702914999999997E-2"/>
    <n v="6.2687097999999997E-2"/>
    <n v="5.2354426000000003E-2"/>
    <n v="0.15730464599999999"/>
    <n v="8.8276964999999999E-2"/>
    <n v="0.29793603699999999"/>
    <n v="3.2809313999999999E-2"/>
    <n v="4.5998839999999999E-2"/>
    <n v="4.5219713000000002E-2"/>
    <n v="2.9400108000000001E-2"/>
    <n v="1.0132857E-2"/>
  </r>
  <r>
    <x v="314"/>
    <x v="154"/>
    <n v="3.3066657999999999E-2"/>
    <n v="9.6636565999999993E-2"/>
    <n v="7.2816737000000006E-2"/>
    <n v="0.19145657799999999"/>
    <n v="0.121920743"/>
    <n v="0.38619405800000001"/>
    <n v="2.9633491000000001E-2"/>
    <n v="5.7977142000000002E-2"/>
    <n v="1.5377760000000001E-2"/>
    <n v="3.6583663000000002E-2"/>
    <n v="1.968381E-3"/>
  </r>
  <r>
    <x v="315"/>
    <x v="1"/>
    <n v="7.5979627999999994E-2"/>
    <n v="6.5266538999999998E-2"/>
    <n v="6.2305540999999999E-2"/>
    <n v="0.161692166"/>
    <n v="8.1252352999999999E-2"/>
    <n v="0.30525005999999999"/>
    <n v="2.9162816000000001E-2"/>
    <n v="6.9640850000000004E-2"/>
    <n v="1.8777317000000002E-2"/>
    <n v="2.8558152E-2"/>
    <n v="8.7160269999999995E-3"/>
  </r>
  <r>
    <x v="316"/>
    <x v="155"/>
    <n v="5.5553221999999999E-2"/>
    <n v="3.8899311999999998E-2"/>
    <n v="3.9434250999999997E-2"/>
    <n v="0.23124433699999999"/>
    <n v="7.2087656999999999E-2"/>
    <n v="0.34276624499999997"/>
    <n v="4.2543625000000002E-2"/>
    <n v="5.6081842E-2"/>
    <n v="1.4144619000000001E-2"/>
    <n v="3.3557314999999997E-2"/>
    <n v="1.046801E-3"/>
  </r>
  <r>
    <x v="317"/>
    <x v="156"/>
    <n v="2.1230704999999999E-2"/>
    <n v="0.11438263799999999"/>
    <n v="8.7070270000000005E-2"/>
    <n v="0.11553899400000001"/>
    <n v="0.124259994"/>
    <n v="0.326869258"/>
    <n v="4.0991087000000002E-2"/>
    <n v="7.8129493999999994E-2"/>
    <n v="1.6574284000000002E-2"/>
    <n v="1.7295897000000001E-2"/>
    <n v="1.2073E-2"/>
  </r>
  <r>
    <x v="318"/>
    <x v="157"/>
    <n v="2.3182211000000001E-2"/>
    <n v="0.106227875"/>
    <n v="3.3183657999999998E-2"/>
    <n v="0.137990003"/>
    <n v="0.10183133799999999"/>
    <n v="0.27300499899999997"/>
    <n v="3.8052045E-2"/>
    <n v="8.3158060000000006E-2"/>
    <n v="3.6651805000000003E-2"/>
    <n v="2.9549749E-2"/>
    <n v="2.5444649E-2"/>
  </r>
  <r>
    <x v="319"/>
    <x v="1"/>
    <n v="6.4975779999999997E-2"/>
    <n v="4.7254095000000003E-2"/>
    <n v="6.5050946999999998E-2"/>
    <n v="0.185711613"/>
    <n v="8.2365142000000002E-2"/>
    <n v="0.33312770199999997"/>
    <n v="3.8405726000000001E-2"/>
    <n v="7.2016980999999994E-2"/>
    <n v="2.0395342E-2"/>
    <n v="1.698185E-2"/>
    <n v="1.3776037E-2"/>
  </r>
  <r>
    <x v="320"/>
    <x v="158"/>
    <n v="6.1058895000000002E-2"/>
    <n v="4.8737304000000002E-2"/>
    <n v="5.5277013999999999E-2"/>
    <n v="0.17536547"/>
    <n v="9.0288724000000001E-2"/>
    <n v="0.32093120799999997"/>
    <n v="4.2544083000000003E-2"/>
    <n v="8.7927511E-2"/>
    <n v="2.7149044000000001E-2"/>
    <n v="1.5378757999999999E-2"/>
    <n v="2.3281527999999999E-2"/>
  </r>
  <r>
    <x v="321"/>
    <x v="1"/>
    <n v="4.9470593E-2"/>
    <n v="5.4872980000000002E-2"/>
    <n v="4.8124707000000003E-2"/>
    <n v="0.15466279999999999"/>
    <n v="0.117103445"/>
    <n v="0.31989095199999995"/>
    <n v="5.0256046999999998E-2"/>
    <n v="7.2179792000000007E-2"/>
    <n v="8.8764800000000008E-3"/>
    <n v="3.3591809E-2"/>
    <n v="7.751366E-3"/>
  </r>
  <r>
    <x v="322"/>
    <x v="159"/>
    <n v="4.4338045999999999E-2"/>
    <n v="0.104982462"/>
    <n v="4.1581720000000003E-2"/>
    <n v="0.14861556100000001"/>
    <n v="0.104637937"/>
    <n v="0.29483521800000001"/>
    <n v="4.3463079000000002E-2"/>
    <n v="8.321038E-2"/>
    <n v="3.7402930000000001E-2"/>
    <n v="3.6735560000000001E-3"/>
    <n v="3.0967833E-2"/>
  </r>
  <r>
    <x v="323"/>
    <x v="1"/>
    <n v="6.7803855999999996E-2"/>
    <n v="5.2283944999999998E-2"/>
    <n v="5.1367367999999997E-2"/>
    <n v="0.14886218200000001"/>
    <n v="9.6578257000000001E-2"/>
    <n v="0.29680780699999998"/>
    <n v="3.5832680999999998E-2"/>
    <n v="9.0530382000000006E-2"/>
    <n v="2.0775749999999999E-2"/>
    <n v="2.7271918999999999E-2"/>
    <n v="1.1189331E-2"/>
  </r>
  <r>
    <x v="324"/>
    <x v="1"/>
    <n v="5.8134999E-2"/>
    <n v="4.2630182000000003E-2"/>
    <n v="8.3370440000000004E-2"/>
    <n v="0.178635776"/>
    <n v="8.7102788E-2"/>
    <n v="0.349109004"/>
    <n v="2.9285585999999999E-2"/>
    <n v="9.8423766999999995E-2"/>
    <n v="3.0752108E-2"/>
    <n v="1.1566863E-2"/>
    <n v="1.8629946000000001E-2"/>
  </r>
  <r>
    <x v="325"/>
    <x v="1"/>
    <n v="4.139027E-2"/>
    <n v="5.4088500999999997E-2"/>
    <n v="7.8440788999999997E-2"/>
    <n v="0.20809919199999999"/>
    <n v="5.8292229000000001E-2"/>
    <n v="0.34483220999999997"/>
    <n v="2.7300872E-2"/>
    <n v="8.9870687000000005E-2"/>
    <n v="3.6368490000000003E-2"/>
    <n v="9.8072939999999994E-3"/>
    <n v="3.0235280000000002E-3"/>
  </r>
  <r>
    <x v="326"/>
    <x v="160"/>
    <n v="5.9322989E-2"/>
    <n v="0.11095896"/>
    <n v="5.6980665E-2"/>
    <n v="0.164689795"/>
    <n v="7.8301138000000006E-2"/>
    <n v="0.29997159800000001"/>
    <n v="2.6922613000000001E-2"/>
    <n v="7.1946495999999999E-2"/>
    <n v="2.7902514E-2"/>
    <n v="2.4682613999999999E-2"/>
    <n v="8.3977399999999995E-4"/>
  </r>
  <r>
    <x v="327"/>
    <x v="1"/>
    <n v="4.2323056999999997E-2"/>
    <n v="7.4496651999999997E-2"/>
    <n v="8.0566114999999994E-2"/>
    <n v="0.151901388"/>
    <n v="0.111520514"/>
    <n v="0.34398801699999998"/>
    <n v="3.1267425000000001E-2"/>
    <n v="8.5588831000000004E-2"/>
    <n v="2.4142401000000001E-2"/>
    <n v="2.1832728999999999E-2"/>
    <n v="6.413551E-3"/>
  </r>
  <r>
    <x v="328"/>
    <x v="1"/>
    <n v="4.8260207999999999E-2"/>
    <n v="5.8771598000000001E-2"/>
    <n v="8.1150301999999994E-2"/>
    <n v="0.16946161100000001"/>
    <n v="8.9786816000000005E-2"/>
    <n v="0.34039872900000001"/>
    <n v="3.4691317999999999E-2"/>
    <n v="8.4906199000000002E-2"/>
    <n v="2.5010028E-2"/>
    <n v="2.0968371E-2"/>
    <n v="1.0786621999999999E-2"/>
  </r>
  <r>
    <x v="329"/>
    <x v="161"/>
    <n v="5.0119082000000002E-2"/>
    <n v="7.9300782E-2"/>
    <n v="3.2322223999999997E-2"/>
    <n v="0.14856756300000001"/>
    <n v="9.5652159E-2"/>
    <n v="0.27654194600000004"/>
    <n v="4.23433E-2"/>
    <n v="5.2191974000000002E-2"/>
    <n v="2.1072877E-2"/>
    <n v="5.0140365999999999E-2"/>
    <n v="8.9518449999999999E-3"/>
  </r>
  <r>
    <x v="330"/>
    <x v="162"/>
    <n v="5.6731993000000001E-2"/>
    <n v="5.0725758000000003E-2"/>
    <n v="6.4629961999999999E-2"/>
    <n v="0.15995668599999999"/>
    <n v="0.117580423"/>
    <n v="0.34216707099999999"/>
    <n v="3.6480406E-2"/>
    <n v="9.1818944E-2"/>
    <n v="1.3609777E-2"/>
    <n v="2.99197E-2"/>
    <n v="1.1106621000000001E-2"/>
  </r>
  <r>
    <x v="331"/>
    <x v="1"/>
    <n v="4.0588942000000003E-2"/>
    <n v="6.9241925999999995E-2"/>
    <n v="7.3718694000000001E-2"/>
    <n v="0.156739449"/>
    <n v="0.107416048"/>
    <n v="0.33787419099999999"/>
    <n v="2.7767940000000001E-2"/>
    <n v="9.2754227999999994E-2"/>
    <n v="2.2635321E-2"/>
    <n v="6.9098079999999999E-3"/>
    <n v="1.7839384999999999E-2"/>
  </r>
  <r>
    <x v="332"/>
    <x v="163"/>
    <n v="4.2983831E-2"/>
    <n v="9.9239045999999997E-2"/>
    <n v="8.1169766000000004E-2"/>
    <n v="6.8281593000000002E-2"/>
    <n v="0.122036116"/>
    <n v="0.27148747500000003"/>
    <n v="4.1973027000000003E-2"/>
    <n v="7.7964572999999995E-2"/>
    <n v="1.6359722E-2"/>
    <n v="1.7587704999999999E-2"/>
    <n v="1.4765411000000001E-2"/>
  </r>
  <r>
    <x v="333"/>
    <x v="164"/>
    <n v="4.8790828000000001E-2"/>
    <n v="5.2167910999999997E-2"/>
    <n v="4.8071152999999998E-2"/>
    <n v="0.16457945099999999"/>
    <n v="0.109682031"/>
    <n v="0.32233263499999998"/>
    <n v="4.0326277000000001E-2"/>
    <n v="8.6127933000000004E-2"/>
    <n v="3.0066071999999999E-2"/>
    <n v="2.0859936999999999E-2"/>
    <n v="1.9549717000000001E-2"/>
  </r>
  <r>
    <x v="334"/>
    <x v="1"/>
    <n v="5.0918063999999999E-2"/>
    <n v="5.6737520999999999E-2"/>
    <n v="7.1814629000000005E-2"/>
    <n v="0.14463648700000001"/>
    <n v="0.104689502"/>
    <n v="0.32114061799999999"/>
    <n v="2.5252782000000001E-2"/>
    <n v="9.5690971E-2"/>
    <n v="2.2230822000000001E-2"/>
    <n v="2.2455064E-2"/>
    <n v="1.500287E-2"/>
  </r>
  <r>
    <x v="335"/>
    <x v="1"/>
    <n v="4.0126758999999998E-2"/>
    <n v="5.1270378999999998E-2"/>
    <n v="0.105398635"/>
    <n v="0.15442452500000001"/>
    <n v="9.9111914999999995E-2"/>
    <n v="0.35893507499999999"/>
    <n v="3.6729218000000001E-2"/>
    <n v="7.1698080999999997E-2"/>
    <n v="7.7919920000000002E-3"/>
    <n v="2.2894013000000001E-2"/>
    <n v="1.9283460999999998E-2"/>
  </r>
  <r>
    <x v="336"/>
    <x v="1"/>
    <n v="4.9866967999999998E-2"/>
    <n v="4.6607888E-2"/>
    <n v="7.0385169999999997E-2"/>
    <n v="0.17844897500000001"/>
    <n v="8.5641999999999996E-2"/>
    <n v="0.334476145"/>
    <n v="2.9599157000000001E-2"/>
    <n v="0.109398539"/>
    <n v="1.446353E-2"/>
    <n v="1.38072E-2"/>
    <n v="1.4047287E-2"/>
  </r>
  <r>
    <x v="337"/>
    <x v="1"/>
    <n v="4.6623056000000003E-2"/>
    <n v="5.9342851000000002E-2"/>
    <n v="7.1441436999999997E-2"/>
    <n v="0.16557492200000001"/>
    <n v="9.0975246999999995E-2"/>
    <n v="0.32799160599999999"/>
    <n v="3.7827160999999998E-2"/>
    <n v="7.7371436000000002E-2"/>
    <n v="2.3946248999999999E-2"/>
    <n v="4.2215722999999997E-2"/>
    <n v="7.1289370000000001E-3"/>
  </r>
  <r>
    <x v="338"/>
    <x v="1"/>
    <n v="3.8951859999999998E-2"/>
    <n v="3.3837006000000003E-2"/>
    <n v="5.7755520999999997E-2"/>
    <n v="0.199711267"/>
    <n v="9.1319365999999999E-2"/>
    <n v="0.34878615400000001"/>
    <n v="4.0632824999999997E-2"/>
    <n v="7.0573242999999994E-2"/>
    <n v="1.0656238E-2"/>
    <n v="2.8645075999999998E-2"/>
    <n v="1.2540526E-2"/>
  </r>
  <r>
    <x v="339"/>
    <x v="165"/>
    <n v="4.2230895999999997E-2"/>
    <n v="6.3250887000000006E-2"/>
    <n v="7.9317251000000005E-2"/>
    <n v="0.19471588300000001"/>
    <n v="0.10456536800000001"/>
    <n v="0.378598502"/>
    <n v="3.6843654000000003E-2"/>
    <n v="8.8134223999999997E-2"/>
    <n v="2.6676009000000001E-2"/>
    <n v="2.6133739999999999E-2"/>
    <n v="1.4427229999999999E-3"/>
  </r>
  <r>
    <x v="340"/>
    <x v="1"/>
    <n v="4.8613972999999998E-2"/>
    <n v="5.1515846999999997E-2"/>
    <n v="0.110789199"/>
    <n v="0.201599316"/>
    <n v="0.116732523"/>
    <n v="0.42912103800000001"/>
    <n v="4.4466279999999997E-2"/>
    <n v="5.2264844999999997E-2"/>
    <n v="2.0341796999999998E-2"/>
    <n v="6.3832300000000002E-3"/>
    <n v="6.3030819999999998E-3"/>
  </r>
  <r>
    <x v="341"/>
    <x v="1"/>
    <n v="5.6928767999999998E-2"/>
    <n v="5.5458418000000002E-2"/>
    <n v="4.0245731999999999E-2"/>
    <n v="0.15764990100000001"/>
    <n v="9.4328740999999994E-2"/>
    <n v="0.29222437400000001"/>
    <n v="3.2582767999999998E-2"/>
    <n v="9.5465493999999998E-2"/>
    <n v="3.5294658999999999E-2"/>
    <n v="2.5897711E-2"/>
    <n v="1.0560063E-2"/>
  </r>
  <r>
    <x v="342"/>
    <x v="1"/>
    <n v="4.7883771999999998E-2"/>
    <n v="6.0797118999999997E-2"/>
    <n v="4.6823537999999998E-2"/>
    <n v="0.15406725600000001"/>
    <n v="0.112591119"/>
    <n v="0.313481913"/>
    <n v="2.6532228000000001E-2"/>
    <n v="9.2798409999999998E-2"/>
    <n v="1.5310663E-2"/>
    <n v="0"/>
    <n v="1.8706323E-2"/>
  </r>
  <r>
    <x v="343"/>
    <x v="166"/>
    <n v="3.8103363000000001E-2"/>
    <n v="6.4676997E-2"/>
    <n v="7.3832898999999994E-2"/>
    <n v="0.17123456100000001"/>
    <n v="9.6202646000000003E-2"/>
    <n v="0.34127010600000002"/>
    <n v="2.8736462000000001E-2"/>
    <n v="7.2059825999999993E-2"/>
    <n v="2.7993311E-2"/>
    <n v="3.0154746999999999E-2"/>
    <n v="1.0579470000000001E-2"/>
  </r>
  <r>
    <x v="344"/>
    <x v="1"/>
    <n v="6.0694083000000003E-2"/>
    <n v="3.7207151000000001E-2"/>
    <n v="6.9927726999999995E-2"/>
    <n v="0.18303233699999999"/>
    <n v="0.10271904499999999"/>
    <n v="0.35567910899999999"/>
    <n v="4.3590956E-2"/>
    <n v="8.8670813000000001E-2"/>
    <n v="2.9978956000000001E-2"/>
    <n v="3.7284829999999999E-3"/>
    <n v="2.3945438999999999E-2"/>
  </r>
  <r>
    <x v="345"/>
    <x v="167"/>
    <n v="4.2701798999999999E-2"/>
    <n v="6.2871593000000003E-2"/>
    <n v="7.7208889000000003E-2"/>
    <n v="0.20510104100000001"/>
    <n v="0.115212578"/>
    <n v="0.39752250800000005"/>
    <n v="4.1995328999999998E-2"/>
    <n v="5.3692819000000003E-2"/>
    <n v="2.0266005E-2"/>
    <n v="3.4530903000000002E-2"/>
    <n v="1.6222216000000001E-2"/>
  </r>
  <r>
    <x v="346"/>
    <x v="168"/>
    <n v="4.1206263E-2"/>
    <n v="9.1671304999999995E-2"/>
    <n v="0.10849020500000001"/>
    <n v="0.138909491"/>
    <n v="0.13209148800000001"/>
    <n v="0.37949118400000004"/>
    <n v="5.0034725000000002E-2"/>
    <n v="8.4163796999999999E-2"/>
    <n v="8.7507420000000006E-3"/>
    <n v="4.625596E-3"/>
    <n v="0"/>
  </r>
  <r>
    <x v="347"/>
    <x v="1"/>
    <n v="6.0532078000000003E-2"/>
    <n v="6.9158381000000005E-2"/>
    <n v="9.1059919000000003E-2"/>
    <n v="0.16977910399999999"/>
    <n v="6.1304003000000003E-2"/>
    <n v="0.322143026"/>
    <n v="2.1459490000000001E-2"/>
    <n v="9.1561201999999994E-2"/>
    <n v="3.8575079999999998E-2"/>
    <n v="1.9757736000000001E-2"/>
    <n v="6.9439949999999997E-3"/>
  </r>
  <r>
    <x v="348"/>
    <x v="169"/>
    <n v="3.2076681000000003E-2"/>
    <n v="6.3507468999999997E-2"/>
    <n v="5.8139374000000001E-2"/>
    <n v="0.201304396"/>
    <n v="8.9474635999999996E-2"/>
    <n v="0.34891840600000001"/>
    <n v="2.6237043000000002E-2"/>
    <n v="7.7817765999999997E-2"/>
    <n v="2.74772E-2"/>
    <n v="2.5365871000000002E-2"/>
    <n v="5.9537419999999997E-3"/>
  </r>
  <r>
    <x v="349"/>
    <x v="1"/>
    <n v="6.0812597000000003E-2"/>
    <n v="7.3513288999999996E-2"/>
    <n v="5.4148426E-2"/>
    <n v="0.144302284"/>
    <n v="8.7795294999999995E-2"/>
    <n v="0.28624600499999997"/>
    <n v="3.5710073000000002E-2"/>
    <n v="9.1650532000000007E-2"/>
    <n v="1.9465593999999999E-2"/>
    <n v="2.406839E-3"/>
    <n v="1.6604265999999999E-2"/>
  </r>
  <r>
    <x v="350"/>
    <x v="1"/>
    <n v="2.831243E-2"/>
    <n v="9.6356021E-2"/>
    <n v="5.9750626000000001E-2"/>
    <n v="0.13700078700000001"/>
    <n v="9.3224845000000001E-2"/>
    <n v="0.28997625800000004"/>
    <n v="3.2271086999999997E-2"/>
    <n v="9.6711927000000003E-2"/>
    <n v="1.7698993E-2"/>
    <n v="3.6623798999999999E-2"/>
    <n v="1.5824312E-2"/>
  </r>
  <r>
    <x v="351"/>
    <x v="170"/>
    <n v="5.2126763E-2"/>
    <n v="6.7822705999999996E-2"/>
    <n v="5.5174128000000003E-2"/>
    <n v="5.9823824999999997E-2"/>
    <n v="6.9182361999999997E-2"/>
    <n v="0.18418031499999998"/>
    <n v="2.7499305000000002E-2"/>
    <n v="0.142944285"/>
    <n v="2.4685531E-2"/>
    <n v="1.6032101999999999E-2"/>
    <n v="7.3292039999999998E-3"/>
  </r>
  <r>
    <x v="352"/>
    <x v="1"/>
    <n v="7.8157412999999995E-2"/>
    <n v="3.8524572999999999E-2"/>
    <n v="7.0825243999999996E-2"/>
    <n v="0.194750373"/>
    <n v="8.8868840000000004E-2"/>
    <n v="0.35444445699999999"/>
    <n v="4.2375985999999997E-2"/>
    <n v="8.0120567000000004E-2"/>
    <n v="4.2520689999999998E-3"/>
    <n v="9.1615770000000006E-3"/>
    <n v="6.4178910000000002E-3"/>
  </r>
  <r>
    <x v="353"/>
    <x v="171"/>
    <n v="5.2651137000000001E-2"/>
    <n v="4.4802116000000003E-2"/>
    <n v="5.8337021000000003E-2"/>
    <n v="0.18688406299999999"/>
    <n v="9.1478224999999996E-2"/>
    <n v="0.336699309"/>
    <n v="3.6196952999999997E-2"/>
    <n v="7.8664333000000003E-2"/>
    <n v="2.6555960999999999E-2"/>
    <n v="2.7076297999999999E-2"/>
    <n v="3.4243279999999999E-3"/>
  </r>
  <r>
    <x v="354"/>
    <x v="1"/>
    <n v="5.6140481999999998E-2"/>
    <n v="5.5187906000000002E-2"/>
    <n v="0.142701037"/>
    <n v="0.16975279700000001"/>
    <n v="0.11616478700000001"/>
    <n v="0.42861862100000003"/>
    <n v="4.8662819000000003E-2"/>
    <n v="0.115084305"/>
    <n v="6.5335499999999999E-3"/>
    <n v="0"/>
    <n v="2.1977949999999998E-3"/>
  </r>
  <r>
    <x v="355"/>
    <x v="172"/>
    <n v="7.5633388999999995E-2"/>
    <n v="7.7071381999999994E-2"/>
    <n v="6.5811584000000006E-2"/>
    <n v="0.20597842799999999"/>
    <n v="0.120219305"/>
    <n v="0.39200931699999997"/>
    <n v="4.1558284000000001E-2"/>
    <n v="8.3271383000000004E-2"/>
    <n v="4.0104830000000001E-2"/>
    <n v="1.6790467E-2"/>
    <n v="0"/>
  </r>
  <r>
    <x v="356"/>
    <x v="1"/>
    <n v="4.4352903999999999E-2"/>
    <n v="4.8237820000000001E-2"/>
    <n v="7.4437155000000005E-2"/>
    <n v="0.170522548"/>
    <n v="9.2686449000000004E-2"/>
    <n v="0.33764615200000003"/>
    <n v="4.2405403000000001E-2"/>
    <n v="7.2657346999999997E-2"/>
    <n v="3.3123178000000003E-2"/>
    <n v="3.3484750000000001E-2"/>
    <n v="1.0252656000000001E-2"/>
  </r>
  <r>
    <x v="357"/>
    <x v="1"/>
    <n v="5.3955563999999998E-2"/>
    <n v="5.8446171999999998E-2"/>
    <n v="6.8648841000000002E-2"/>
    <n v="0.16880948900000001"/>
    <n v="8.1943576000000004E-2"/>
    <n v="0.31940190600000001"/>
    <n v="3.5503592E-2"/>
    <n v="4.9533184000000001E-2"/>
    <n v="3.7600596999999999E-2"/>
    <n v="1.7798267999999999E-2"/>
    <n v="4.320717E-3"/>
  </r>
  <r>
    <x v="358"/>
    <x v="1"/>
    <n v="6.1254056000000001E-2"/>
    <n v="2.1228813999999999E-2"/>
    <n v="5.9948077000000002E-2"/>
    <n v="0.16524562800000001"/>
    <n v="0.10268066200000001"/>
    <n v="0.32787436700000006"/>
    <n v="3.4106023999999999E-2"/>
    <n v="8.2582946000000004E-2"/>
    <n v="2.5806842E-2"/>
    <n v="1.7778217999999998E-2"/>
    <n v="1.3879091E-2"/>
  </r>
  <r>
    <x v="359"/>
    <x v="173"/>
    <n v="5.2843868000000002E-2"/>
    <n v="5.3086550000000003E-2"/>
    <n v="6.4906744000000002E-2"/>
    <n v="0.19672450999999999"/>
    <n v="7.8944923E-2"/>
    <n v="0.34057617699999998"/>
    <n v="3.6580705999999998E-2"/>
    <n v="9.0593556000000006E-2"/>
    <n v="2.2636804999999999E-2"/>
    <n v="9.5606960000000005E-3"/>
    <n v="2.0548373000000002E-2"/>
  </r>
  <r>
    <x v="360"/>
    <x v="174"/>
    <n v="1.8077612999999999E-2"/>
    <n v="6.4649744999999995E-2"/>
    <n v="0.12720073000000001"/>
    <n v="0.142522125"/>
    <n v="0.13604920600000001"/>
    <n v="0.40577206100000007"/>
    <n v="4.6121823999999999E-2"/>
    <n v="3.8877284999999998E-2"/>
    <n v="1.5899257E-2"/>
    <n v="1.0390979999999999E-2"/>
    <n v="1.7874061E-2"/>
  </r>
  <r>
    <x v="361"/>
    <x v="175"/>
    <n v="3.7506379999999999E-2"/>
    <n v="6.6026056E-2"/>
    <n v="7.7038948999999995E-2"/>
    <n v="0.14003991700000001"/>
    <n v="0.118232913"/>
    <n v="0.33531177899999998"/>
    <n v="4.3423503000000002E-2"/>
    <n v="7.5171593999999994E-2"/>
    <n v="2.1539543000000001E-2"/>
    <n v="1.6268686000000001E-2"/>
    <n v="0"/>
  </r>
  <r>
    <x v="362"/>
    <x v="1"/>
    <n v="4.4448921000000002E-2"/>
    <n v="6.4426880000000006E-2"/>
    <n v="5.7595960000000002E-2"/>
    <n v="0.173816313"/>
    <n v="9.4358705000000001E-2"/>
    <n v="0.32577097799999999"/>
    <n v="2.7837191000000001E-2"/>
    <n v="9.1137319999999994E-2"/>
    <n v="1.8718230999999998E-2"/>
    <n v="2.1207793999999999E-2"/>
    <n v="1.5404655999999999E-2"/>
  </r>
  <r>
    <x v="363"/>
    <x v="176"/>
    <n v="4.8681386E-2"/>
    <n v="2.8477617E-2"/>
    <n v="9.2513023999999999E-2"/>
    <n v="0.17231280199999999"/>
    <n v="0.13882397099999999"/>
    <n v="0.40364979699999998"/>
    <n v="5.9146174000000003E-2"/>
    <n v="6.3674069999999999E-2"/>
    <n v="2.7824864000000001E-2"/>
    <n v="1.7660038999999999E-2"/>
    <n v="1.3166505E-2"/>
  </r>
  <r>
    <x v="364"/>
    <x v="1"/>
    <n v="4.9733648999999998E-2"/>
    <n v="4.3870422999999999E-2"/>
    <n v="7.4802832E-2"/>
    <n v="0.17112788500000001"/>
    <n v="7.3584969E-2"/>
    <n v="0.31951568600000002"/>
    <n v="2.5025238000000002E-2"/>
    <n v="4.4310950000000002E-2"/>
    <n v="1.7646439E-2"/>
    <n v="3.7239830000000002E-2"/>
    <n v="5.048762E-3"/>
  </r>
  <r>
    <x v="365"/>
    <x v="1"/>
    <n v="7.5692157999999995E-2"/>
    <n v="3.5255130000000003E-2"/>
    <n v="5.6276311000000002E-2"/>
    <n v="0.17817593600000001"/>
    <n v="8.7841724999999996E-2"/>
    <n v="0.32229397199999998"/>
    <n v="2.6271389999999999E-2"/>
    <n v="8.4606317E-2"/>
    <n v="3.9926561999999999E-2"/>
    <n v="1.7224840000000002E-2"/>
    <n v="2.7380318000000001E-2"/>
  </r>
  <r>
    <x v="366"/>
    <x v="1"/>
    <n v="5.6238558000000001E-2"/>
    <n v="3.0128894999999999E-2"/>
    <n v="0.105413523"/>
    <n v="0.157034641"/>
    <n v="5.9267114000000003E-2"/>
    <n v="0.32171527799999999"/>
    <n v="5.5943078E-2"/>
    <n v="8.9565888999999996E-2"/>
    <n v="2.5990505000000001E-2"/>
    <n v="2.5088124E-2"/>
    <n v="2.0828902E-2"/>
  </r>
  <r>
    <x v="367"/>
    <x v="1"/>
    <n v="3.8645605E-2"/>
    <n v="6.6224025000000006E-2"/>
    <n v="8.7362524999999996E-2"/>
    <n v="0.18431561199999999"/>
    <n v="9.3536672000000001E-2"/>
    <n v="0.36521480899999997"/>
    <n v="3.3536845000000003E-2"/>
    <n v="6.2127609E-2"/>
    <n v="2.9662688E-2"/>
    <n v="3.4995603E-2"/>
    <n v="6.6695050000000001E-3"/>
  </r>
  <r>
    <x v="368"/>
    <x v="1"/>
    <n v="0.106079733"/>
    <n v="4.5982710000000003E-2"/>
    <n v="3.9103415000000002E-2"/>
    <n v="0.18069612299999999"/>
    <n v="7.1683815999999997E-2"/>
    <n v="0.29148335399999997"/>
    <n v="3.4355889000000001E-2"/>
    <n v="8.6298483999999995E-2"/>
    <n v="3.3662393999999998E-2"/>
    <n v="1.9126205E-2"/>
    <n v="1.9361660999999999E-2"/>
  </r>
  <r>
    <x v="369"/>
    <x v="1"/>
    <n v="8.8518865000000002E-2"/>
    <n v="8.2554516999999994E-2"/>
    <n v="8.0733251000000006E-2"/>
    <n v="0.156295028"/>
    <n v="8.8684640999999995E-2"/>
    <n v="0.32571292000000002"/>
    <n v="4.1410545999999999E-2"/>
    <n v="6.9729508999999995E-2"/>
    <n v="5.0633279000000003E-2"/>
    <n v="1.2089735000000001E-2"/>
    <n v="0"/>
  </r>
  <r>
    <x v="370"/>
    <x v="177"/>
    <n v="4.0543034999999998E-2"/>
    <n v="8.3862644E-2"/>
    <n v="3.2611835999999998E-2"/>
    <n v="0.16805750799999999"/>
    <n v="0.114279698"/>
    <n v="0.31494904200000001"/>
    <n v="2.3765234999999999E-2"/>
    <n v="9.2935245E-2"/>
    <n v="2.2591696000000001E-2"/>
    <n v="1.9638329E-2"/>
    <n v="1.0781153E-2"/>
  </r>
  <r>
    <x v="371"/>
    <x v="178"/>
    <n v="3.8281135000000001E-2"/>
    <n v="5.7320273999999997E-2"/>
    <n v="8.3598154999999993E-2"/>
    <n v="0.14697023400000001"/>
    <n v="9.3209816000000001E-2"/>
    <n v="0.32377820499999999"/>
    <n v="4.1756539000000002E-2"/>
    <n v="8.8189612000000001E-2"/>
    <n v="1.5756288E-2"/>
    <n v="2.3217040000000001E-2"/>
    <n v="1.1109149E-2"/>
  </r>
  <r>
    <x v="372"/>
    <x v="1"/>
    <n v="7.0847339999999995E-2"/>
    <n v="5.3948443999999998E-2"/>
    <n v="5.8389506000000001E-2"/>
    <n v="0.14314895499999999"/>
    <n v="8.9619306999999995E-2"/>
    <n v="0.29115776799999998"/>
    <n v="4.6373403000000001E-2"/>
    <n v="7.5347711999999997E-2"/>
    <n v="4.8691610000000003E-2"/>
    <n v="1.4631750000000001E-2"/>
    <n v="3.9026986999999999E-2"/>
  </r>
  <r>
    <x v="373"/>
    <x v="1"/>
    <n v="8.4217761000000002E-2"/>
    <n v="2.4858561000000001E-2"/>
    <n v="3.493392E-2"/>
    <n v="0.191383317"/>
    <n v="8.8872384999999998E-2"/>
    <n v="0.315189622"/>
    <n v="4.5159214000000003E-2"/>
    <n v="8.6993070000000006E-2"/>
    <n v="3.9261356999999997E-2"/>
    <n v="3.3410899000000001E-2"/>
    <n v="1.0210491E-2"/>
  </r>
  <r>
    <x v="374"/>
    <x v="1"/>
    <n v="8.0188881000000004E-2"/>
    <n v="8.3647983999999995E-2"/>
    <n v="7.4062851999999998E-2"/>
    <n v="0.16529321299999999"/>
    <n v="0.12021353999999999"/>
    <n v="0.35956960500000001"/>
    <n v="2.9166503999999999E-2"/>
    <n v="7.5117505000000001E-2"/>
    <n v="1.1833417000000001E-2"/>
    <n v="1.3198962E-2"/>
    <n v="1.2216134E-2"/>
  </r>
  <r>
    <x v="375"/>
    <x v="1"/>
    <n v="4.4491783E-2"/>
    <n v="5.9334738999999997E-2"/>
    <n v="8.0489507000000002E-2"/>
    <n v="0.152432015"/>
    <n v="9.6397430000000006E-2"/>
    <n v="0.329318952"/>
    <n v="3.5375529000000003E-2"/>
    <n v="6.4723470000000005E-2"/>
    <n v="2.9348927E-2"/>
    <n v="2.7181206999999999E-2"/>
    <n v="1.7501846000000001E-2"/>
  </r>
  <r>
    <x v="376"/>
    <x v="179"/>
    <n v="5.9522145999999998E-2"/>
    <n v="8.8524544999999996E-2"/>
    <n v="3.3237830000000003E-2"/>
    <n v="0.18070351900000001"/>
    <n v="9.1375198000000005E-2"/>
    <n v="0.30531654699999999"/>
    <n v="2.9280361000000001E-2"/>
    <n v="0.10430099299999999"/>
    <n v="2.7211609000000001E-2"/>
    <n v="2.3188663000000002E-2"/>
    <n v="4.9765729999999998E-3"/>
  </r>
  <r>
    <x v="377"/>
    <x v="1"/>
    <n v="8.0113158000000004E-2"/>
    <n v="1.0769647E-2"/>
    <n v="6.3039029999999996E-2"/>
    <n v="0.216796082"/>
    <n v="0.101213305"/>
    <n v="0.38104841700000003"/>
    <n v="3.8995149999999999E-2"/>
    <n v="7.5371314999999994E-2"/>
    <n v="3.7858323999999999E-2"/>
    <n v="1.7875332000000001E-2"/>
    <n v="1.7529527E-2"/>
  </r>
  <r>
    <x v="378"/>
    <x v="1"/>
    <n v="4.1506372E-2"/>
    <n v="8.6394447999999999E-2"/>
    <n v="6.3548733999999996E-2"/>
    <n v="0.189142229"/>
    <n v="8.2920149999999998E-2"/>
    <n v="0.33561111300000002"/>
    <n v="3.8374859999999997E-2"/>
    <n v="6.3345181E-2"/>
    <n v="8.0499379999999995E-3"/>
    <n v="2.6540604999999998E-2"/>
    <n v="7.5922539999999997E-3"/>
  </r>
  <r>
    <x v="379"/>
    <x v="180"/>
    <n v="5.5372714000000003E-2"/>
    <n v="1.4066431000000001E-2"/>
    <n v="7.0676299999999997E-2"/>
    <n v="0.19374313600000001"/>
    <n v="0.103511277"/>
    <n v="0.36793071300000002"/>
    <n v="4.2108225999999999E-2"/>
    <n v="9.2330771000000006E-2"/>
    <n v="2.8031426000000002E-2"/>
    <n v="0"/>
    <n v="1.8800127999999999E-2"/>
  </r>
  <r>
    <x v="380"/>
    <x v="1"/>
    <n v="3.9520083999999997E-2"/>
    <n v="7.7194386000000004E-2"/>
    <n v="7.7324171999999997E-2"/>
    <n v="0.155399606"/>
    <n v="0.10061711800000001"/>
    <n v="0.333340896"/>
    <n v="3.2816298000000001E-2"/>
    <n v="9.1836334000000006E-2"/>
    <n v="1.5726337999999999E-2"/>
    <n v="1.1211013000000001E-2"/>
    <n v="1.6089836999999999E-2"/>
  </r>
  <r>
    <x v="381"/>
    <x v="181"/>
    <n v="6.0667661999999997E-2"/>
    <n v="0.100382711"/>
    <n v="5.7656306999999997E-2"/>
    <n v="0.16472611300000001"/>
    <n v="7.8384401000000006E-2"/>
    <n v="0.30076682100000002"/>
    <n v="5.0474837000000002E-2"/>
    <n v="8.8095223E-2"/>
    <n v="3.4492070999999999E-2"/>
    <n v="2.4986202999999998E-2"/>
    <n v="0"/>
  </r>
  <r>
    <x v="382"/>
    <x v="182"/>
    <n v="4.4099632999999999E-2"/>
    <n v="5.6220147999999998E-2"/>
    <n v="5.0929836999999999E-2"/>
    <n v="0.16628177999999999"/>
    <n v="0.103664205"/>
    <n v="0.32087582199999998"/>
    <n v="3.4977781999999999E-2"/>
    <n v="9.4503966999999994E-2"/>
    <n v="2.8032746000000001E-2"/>
    <n v="5.4597090000000001E-3"/>
    <n v="1.9067537999999998E-2"/>
  </r>
  <r>
    <x v="383"/>
    <x v="1"/>
    <n v="8.1778595999999995E-2"/>
    <n v="4.0711018000000002E-2"/>
    <n v="5.8075715999999999E-2"/>
    <n v="0.19874839699999999"/>
    <n v="9.0355783999999995E-2"/>
    <n v="0.34717989699999996"/>
    <n v="4.3459523999999999E-2"/>
    <n v="9.3317470999999999E-2"/>
    <n v="1.5034384E-2"/>
    <n v="1.5308909000000001E-2"/>
    <n v="8.8754579999999993E-3"/>
  </r>
  <r>
    <x v="384"/>
    <x v="183"/>
    <n v="8.1234555999999999E-2"/>
    <n v="8.2147990000000004E-2"/>
    <n v="8.2019256999999998E-2"/>
    <n v="0.16100294600000001"/>
    <n v="9.3124087999999994E-2"/>
    <n v="0.33614629099999999"/>
    <n v="4.4827789999999999E-2"/>
    <n v="9.3978865999999994E-2"/>
    <n v="2.5904946000000002E-2"/>
    <n v="1.6961961000000001E-2"/>
    <n v="1.9329188000000001E-2"/>
  </r>
  <r>
    <x v="385"/>
    <x v="1"/>
    <n v="5.9388496999999998E-2"/>
    <n v="5.0561236000000002E-2"/>
    <n v="6.6669772000000002E-2"/>
    <n v="0.17903703100000001"/>
    <n v="8.3838839999999998E-2"/>
    <n v="0.329545643"/>
    <n v="3.4296616000000002E-2"/>
    <n v="8.7006239999999999E-2"/>
    <n v="2.3986308000000001E-2"/>
    <n v="1.3812916E-2"/>
    <n v="2.4556972E-2"/>
  </r>
  <r>
    <x v="386"/>
    <x v="1"/>
    <n v="4.9743061999999998E-2"/>
    <n v="5.9416135000000002E-2"/>
    <n v="0.100721438"/>
    <n v="0.17846627900000001"/>
    <n v="7.1868291000000001E-2"/>
    <n v="0.35105600800000003"/>
    <n v="2.0053722E-2"/>
    <n v="5.5075544999999997E-2"/>
    <n v="3.0528789000000001E-2"/>
    <n v="1.7579779E-2"/>
    <n v="1.4068990999999999E-2"/>
  </r>
  <r>
    <x v="387"/>
    <x v="1"/>
    <n v="6.2323383000000003E-2"/>
    <n v="2.5545908999999999E-2"/>
    <n v="8.2074072999999997E-2"/>
    <n v="0.169125782"/>
    <n v="9.6289651000000004E-2"/>
    <n v="0.34748950599999995"/>
    <n v="3.7360714000000003E-2"/>
    <n v="9.0878976E-2"/>
    <n v="4.8918360000000001E-3"/>
    <n v="2.5171604E-2"/>
    <n v="8.4774459999999996E-3"/>
  </r>
  <r>
    <x v="388"/>
    <x v="1"/>
    <n v="4.3114337000000003E-2"/>
    <n v="2.8380341E-2"/>
    <n v="8.4105457999999994E-2"/>
    <n v="0.16504144300000001"/>
    <n v="0.101608939"/>
    <n v="0.35075583999999999"/>
    <n v="3.1565441999999999E-2"/>
    <n v="0.12947051300000001"/>
    <n v="1.2287930000000001E-2"/>
    <n v="2.7262813E-2"/>
    <n v="5.8983450000000002E-3"/>
  </r>
  <r>
    <x v="389"/>
    <x v="184"/>
    <n v="4.4910064E-2"/>
    <n v="5.6315898000000003E-2"/>
    <n v="7.8759156999999996E-2"/>
    <n v="0.18820811000000001"/>
    <n v="7.7625128000000002E-2"/>
    <n v="0.344592395"/>
    <n v="3.8363220000000003E-2"/>
    <n v="7.0707493999999996E-2"/>
    <n v="2.3090445000000001E-2"/>
    <n v="2.5450150000000001E-2"/>
    <n v="1.4470594999999999E-2"/>
  </r>
  <r>
    <x v="390"/>
    <x v="185"/>
    <n v="4.2788892000000002E-2"/>
    <n v="5.7304859999999999E-2"/>
    <n v="5.2335624999999997E-2"/>
    <n v="0.160260078"/>
    <n v="9.8184788999999995E-2"/>
    <n v="0.31078049200000002"/>
    <n v="4.3003088000000002E-2"/>
    <n v="8.1105960000000005E-2"/>
    <n v="2.7925873E-2"/>
    <n v="1.5758989000000001E-2"/>
    <n v="2.1460706999999999E-2"/>
  </r>
  <r>
    <x v="391"/>
    <x v="186"/>
    <n v="4.9491571999999998E-2"/>
    <n v="7.2661633000000003E-2"/>
    <n v="8.0044072999999993E-2"/>
    <n v="0.151877766"/>
    <n v="0.10026423600000001"/>
    <n v="0.33218607499999997"/>
    <n v="4.4949913000000001E-2"/>
    <n v="8.2716095000000003E-2"/>
    <n v="3.9383124999999998E-2"/>
    <n v="2.6063388E-2"/>
    <n v="2.1823559999999999E-3"/>
  </r>
  <r>
    <x v="392"/>
    <x v="1"/>
    <n v="4.4346483999999999E-2"/>
    <n v="6.4750255000000007E-2"/>
    <n v="4.3974805999999998E-2"/>
    <n v="0.14669184800000001"/>
    <n v="0.10957781599999999"/>
    <n v="0.30024446999999999"/>
    <n v="5.2626159999999998E-2"/>
    <n v="7.3876447999999997E-2"/>
    <n v="2.7528817000000001E-2"/>
    <n v="3.0823011000000001E-2"/>
    <n v="2.6464189999999999E-2"/>
  </r>
  <r>
    <x v="393"/>
    <x v="187"/>
    <n v="5.2620038000000001E-2"/>
    <n v="3.1284263E-2"/>
    <n v="6.5274215999999996E-2"/>
    <n v="0.18983081900000001"/>
    <n v="0.10453161699999999"/>
    <n v="0.35963665200000006"/>
    <n v="4.0856099999999999E-2"/>
    <n v="9.0664808999999999E-2"/>
    <n v="2.9060534999999998E-2"/>
    <n v="1.6622443000000001E-2"/>
    <n v="9.3984930000000008E-3"/>
  </r>
  <r>
    <x v="394"/>
    <x v="188"/>
    <n v="3.5427470000000003E-2"/>
    <n v="4.4062189000000002E-2"/>
    <n v="0.101932116"/>
    <n v="0.164027595"/>
    <n v="8.8927913999999997E-2"/>
    <n v="0.35488762499999998"/>
    <n v="3.3453594000000003E-2"/>
    <n v="2.4455648999999999E-2"/>
    <n v="2.6882066999999999E-2"/>
    <n v="3.2514177999999998E-2"/>
    <n v="1.2E-5"/>
  </r>
  <r>
    <x v="395"/>
    <x v="189"/>
    <n v="3.2812848999999998E-2"/>
    <n v="6.4082188999999998E-2"/>
    <n v="0.108248291"/>
    <n v="0.15136581700000001"/>
    <n v="0.100202181"/>
    <n v="0.35981628900000001"/>
    <n v="3.5336300000000001E-2"/>
    <n v="6.0857139999999997E-2"/>
    <n v="3.7565513000000002E-2"/>
    <n v="1.2226068E-2"/>
    <n v="7.7938859999999999E-3"/>
  </r>
  <r>
    <x v="396"/>
    <x v="190"/>
    <n v="3.0226764E-2"/>
    <n v="5.4021909999999999E-2"/>
    <n v="5.5341557999999999E-2"/>
    <n v="0.16286621300000001"/>
    <n v="0.10601012899999999"/>
    <n v="0.3242179"/>
    <n v="3.2041220000000002E-2"/>
    <n v="9.4435433999999999E-2"/>
    <n v="2.2175051000000001E-2"/>
    <n v="2.9528255E-2"/>
    <n v="4.0529759999999998E-3"/>
  </r>
  <r>
    <x v="397"/>
    <x v="191"/>
    <n v="5.956906E-2"/>
    <n v="3.6792195999999999E-2"/>
    <n v="6.7258131999999998E-2"/>
    <n v="0.18303042899999999"/>
    <n v="0.10699622"/>
    <n v="0.35728478099999994"/>
    <n v="3.4242274000000003E-2"/>
    <n v="7.4514758E-2"/>
    <n v="2.9048547000000001E-2"/>
    <n v="3.2754512999999999E-2"/>
    <n v="5.7062720000000001E-3"/>
  </r>
  <r>
    <x v="398"/>
    <x v="192"/>
    <n v="1.2562650999999999E-2"/>
    <n v="0.10243852000000001"/>
    <n v="8.0846480999999998E-2"/>
    <n v="0.12831738400000001"/>
    <n v="0.10183354"/>
    <n v="0.310997405"/>
    <n v="3.2094158999999997E-2"/>
    <n v="8.0151532999999997E-2"/>
    <n v="1.9109310000000001E-2"/>
    <n v="2.7181607E-2"/>
    <n v="6.4328340000000001E-3"/>
  </r>
  <r>
    <x v="399"/>
    <x v="193"/>
    <n v="4.6134232999999997E-2"/>
    <n v="6.7751634000000005E-2"/>
    <n v="7.1711844999999996E-2"/>
    <n v="0.123900859"/>
    <n v="9.8682996999999995E-2"/>
    <n v="0.29429570100000002"/>
    <n v="3.9032790999999997E-2"/>
    <n v="7.2989512000000006E-2"/>
    <n v="2.0854153E-2"/>
    <n v="2.2010745000000002E-2"/>
    <n v="1.2484373999999999E-2"/>
  </r>
  <r>
    <x v="400"/>
    <x v="194"/>
    <n v="4.1728142000000003E-2"/>
    <n v="3.9579493E-2"/>
    <n v="5.5477523000000001E-2"/>
    <n v="0.20017927799999999"/>
    <n v="8.7170367999999998E-2"/>
    <n v="0.34282716899999999"/>
    <n v="2.7964326000000001E-2"/>
    <n v="9.3030679000000005E-2"/>
    <n v="2.8774464E-2"/>
    <n v="3.1401062E-2"/>
    <n v="1.1697625999999999E-2"/>
  </r>
  <r>
    <x v="401"/>
    <x v="195"/>
    <n v="4.1463156000000001E-2"/>
    <n v="7.7567049999999998E-2"/>
    <n v="7.7814938E-2"/>
    <n v="0.12490258"/>
    <n v="0.12943021800000001"/>
    <n v="0.33214773600000003"/>
    <n v="4.4749825E-2"/>
    <n v="9.0176102999999994E-2"/>
    <n v="3.5614099000000003E-2"/>
    <n v="1.3478728000000001E-2"/>
    <n v="3.6453140000000002E-3"/>
  </r>
  <r>
    <x v="402"/>
    <x v="196"/>
    <n v="2.6939062E-2"/>
    <n v="6.0519573E-2"/>
    <n v="0.13366329099999999"/>
    <n v="0.15081462100000001"/>
    <n v="0.12081072299999999"/>
    <n v="0.40528863500000001"/>
    <n v="3.6541419999999998E-2"/>
    <n v="4.7217373E-2"/>
    <n v="2.1515394E-2"/>
    <n v="2.0365312E-2"/>
    <n v="7.4378600000000001E-3"/>
  </r>
  <r>
    <x v="403"/>
    <x v="1"/>
    <n v="4.7542062000000003E-2"/>
    <n v="6.7960103999999993E-2"/>
    <n v="4.6723971000000003E-2"/>
    <n v="0.14749652099999999"/>
    <n v="0.101527116"/>
    <n v="0.295747608"/>
    <n v="3.8055556999999997E-2"/>
    <n v="9.0947704000000004E-2"/>
    <n v="2.8123078999999999E-2"/>
    <n v="1.4556336E-2"/>
    <n v="2.0372756999999998E-2"/>
  </r>
  <r>
    <x v="404"/>
    <x v="197"/>
    <n v="6.6606446999999999E-2"/>
    <n v="0.10972222700000001"/>
    <n v="7.982156E-2"/>
    <n v="0.101556322"/>
    <n v="0.100496773"/>
    <n v="0.28187465499999997"/>
    <n v="3.1955757000000001E-2"/>
    <n v="7.8937117000000001E-2"/>
    <n v="2.7167655999999998E-2"/>
    <n v="2.9773766E-2"/>
    <n v="0"/>
  </r>
  <r>
    <x v="405"/>
    <x v="198"/>
    <n v="5.7650752E-2"/>
    <n v="8.1712659000000007E-2"/>
    <n v="5.3469506999999999E-2"/>
    <n v="0.19315760000000001"/>
    <n v="4.7708565000000001E-2"/>
    <n v="0.29433567199999999"/>
    <n v="4.8100083000000002E-2"/>
    <n v="7.3382614999999998E-2"/>
    <n v="2.8507814999999999E-2"/>
    <n v="1.2033401000000001E-2"/>
    <n v="8.2285599999999996E-4"/>
  </r>
  <r>
    <x v="406"/>
    <x v="1"/>
    <n v="4.8391575999999999E-2"/>
    <n v="5.1135330999999999E-2"/>
    <n v="5.7981856999999998E-2"/>
    <n v="0.18876501900000001"/>
    <n v="8.9036920000000006E-2"/>
    <n v="0.33578379600000002"/>
    <n v="2.7211549000000002E-2"/>
    <n v="8.7090289000000001E-2"/>
    <n v="2.1679837E-2"/>
    <n v="1.5405738E-2"/>
    <n v="8.1911769999999991E-3"/>
  </r>
  <r>
    <x v="407"/>
    <x v="199"/>
    <n v="3.9076277E-2"/>
    <n v="5.3058194000000003E-2"/>
    <n v="5.5527559999999997E-2"/>
    <n v="0.22488143899999999"/>
    <n v="9.4869618000000003E-2"/>
    <n v="0.37527861699999998"/>
    <n v="3.1674097999999998E-2"/>
    <n v="5.7323180000000001E-2"/>
    <n v="2.3643212E-2"/>
    <n v="3.5490756999999998E-2"/>
    <n v="1.5035033999999999E-2"/>
  </r>
  <r>
    <x v="408"/>
    <x v="1"/>
    <n v="6.0018716E-2"/>
    <n v="5.4812234000000001E-2"/>
    <n v="7.0059494E-2"/>
    <n v="0.15089586599999999"/>
    <n v="9.6182614999999999E-2"/>
    <n v="0.31713797499999996"/>
    <n v="3.0359644000000002E-2"/>
    <n v="9.0809501000000001E-2"/>
    <n v="2.7844529999999999E-2"/>
    <n v="3.2340844000000001E-2"/>
    <n v="1.3683514000000001E-2"/>
  </r>
  <r>
    <x v="409"/>
    <x v="1"/>
    <n v="5.1183349000000003E-2"/>
    <n v="5.6162376999999999E-2"/>
    <n v="0.11020010600000001"/>
    <n v="0.162141655"/>
    <n v="9.5266487999999996E-2"/>
    <n v="0.367608249"/>
    <n v="4.2139283E-2"/>
    <n v="5.2302788000000003E-2"/>
    <n v="2.1742886999999999E-2"/>
    <n v="1.5797386E-2"/>
    <n v="1.4559704999999999E-2"/>
  </r>
  <r>
    <x v="410"/>
    <x v="200"/>
    <n v="3.9003461000000003E-2"/>
    <n v="0.109141613"/>
    <n v="7.9901339000000002E-2"/>
    <n v="0.126083574"/>
    <n v="0.11278998799999999"/>
    <n v="0.318774901"/>
    <n v="4.0482619999999997E-2"/>
    <n v="7.0233161000000002E-2"/>
    <n v="1.7008036000000001E-2"/>
    <n v="3.3432705E-2"/>
    <n v="3.2077499999999998E-4"/>
  </r>
  <r>
    <x v="411"/>
    <x v="201"/>
    <n v="4.1629813000000002E-2"/>
    <n v="5.7156154000000001E-2"/>
    <n v="8.0910665000000007E-2"/>
    <n v="0.142204261"/>
    <n v="0.10805274600000001"/>
    <n v="0.33116767199999997"/>
    <n v="3.4846282999999999E-2"/>
    <n v="8.0607101E-2"/>
    <n v="2.4856514999999999E-2"/>
    <n v="3.4859870000000001E-2"/>
    <n v="1.0345709999999999E-2"/>
  </r>
  <r>
    <x v="412"/>
    <x v="202"/>
    <n v="2.1816495000000002E-2"/>
    <n v="8.6052733000000006E-2"/>
    <n v="0.112543371"/>
    <n v="0.13963540799999999"/>
    <n v="0.120426405"/>
    <n v="0.37260518399999998"/>
    <n v="4.4850792E-2"/>
    <n v="4.7535834999999999E-2"/>
    <n v="1.0651234000000001E-2"/>
    <n v="1.2498881999999999E-2"/>
    <n v="1.3949423000000001E-2"/>
  </r>
  <r>
    <x v="413"/>
    <x v="1"/>
    <n v="4.1776278E-2"/>
    <n v="5.2054128999999998E-2"/>
    <n v="6.1615727000000002E-2"/>
    <n v="0.18530480499999999"/>
    <n v="8.9154746000000007E-2"/>
    <n v="0.33607527800000003"/>
    <n v="4.0519284000000003E-2"/>
    <n v="8.9556916E-2"/>
    <n v="1.9828346E-2"/>
    <n v="2.5169363E-2"/>
    <n v="2.1335005000000001E-2"/>
  </r>
  <r>
    <x v="414"/>
    <x v="203"/>
    <n v="4.0352968000000003E-2"/>
    <n v="4.5300546999999997E-2"/>
    <n v="6.1208398999999997E-2"/>
    <n v="0.18990938700000001"/>
    <n v="0.115694243"/>
    <n v="0.36681202899999998"/>
    <n v="4.447255E-2"/>
    <n v="6.3843180999999999E-2"/>
    <n v="1.0737534999999999E-2"/>
    <n v="2.2438429999999999E-2"/>
    <n v="3.9329669999999999E-3"/>
  </r>
  <r>
    <x v="415"/>
    <x v="1"/>
    <n v="5.7106653E-2"/>
    <n v="7.5920888000000006E-2"/>
    <n v="6.7572740000000006E-2"/>
    <n v="0.102474256"/>
    <n v="0.13404196500000001"/>
    <n v="0.30408896100000005"/>
    <n v="2.7981582000000001E-2"/>
    <n v="9.9971089999999999E-2"/>
    <n v="3.4448487999999999E-2"/>
    <n v="4.3955239999999996E-3"/>
    <n v="3.7797024999999998E-2"/>
  </r>
  <r>
    <x v="416"/>
    <x v="1"/>
    <n v="5.3073114999999997E-2"/>
    <n v="9.4565795999999994E-2"/>
    <n v="4.4030589000000002E-2"/>
    <n v="0.14210590200000001"/>
    <n v="0.119497828"/>
    <n v="0.30563431900000004"/>
    <n v="3.2642516000000003E-2"/>
    <n v="8.7479376999999997E-2"/>
    <n v="2.8520236000000001E-2"/>
    <n v="7.1284929999999996E-3"/>
    <n v="7.2516710000000003E-3"/>
  </r>
  <r>
    <x v="417"/>
    <x v="204"/>
    <n v="5.8484181000000003E-2"/>
    <n v="5.8161669999999999E-2"/>
    <n v="8.4877782999999998E-2"/>
    <n v="0.19899123299999999"/>
    <n v="7.5874232999999999E-2"/>
    <n v="0.35974324899999999"/>
    <n v="3.1888418000000002E-2"/>
    <n v="4.8506859999999999E-2"/>
    <n v="2.2807833E-2"/>
    <n v="1.4738955E-2"/>
    <n v="1.9959079999999998E-3"/>
  </r>
  <r>
    <x v="418"/>
    <x v="1"/>
    <n v="5.3229423999999997E-2"/>
    <n v="6.3734227000000004E-2"/>
    <n v="5.0385058000000003E-2"/>
    <n v="0.14714042099999999"/>
    <n v="8.7205827E-2"/>
    <n v="0.28473130600000002"/>
    <n v="4.9297115000000002E-2"/>
    <n v="6.9974813999999996E-2"/>
    <n v="2.0428761E-2"/>
    <n v="2.1473058E-2"/>
    <n v="1.8084116000000001E-2"/>
  </r>
  <r>
    <x v="419"/>
    <x v="205"/>
    <n v="2.9048087E-2"/>
    <n v="7.0566543999999995E-2"/>
    <n v="8.0401397999999999E-2"/>
    <n v="0.14808138200000001"/>
    <n v="8.8453558000000002E-2"/>
    <n v="0.31693633799999998"/>
    <n v="3.9268943000000001E-2"/>
    <n v="5.5549767E-2"/>
    <n v="2.8879735E-2"/>
    <n v="2.8563162E-2"/>
    <n v="1.5823944999999999E-2"/>
  </r>
  <r>
    <x v="420"/>
    <x v="206"/>
    <n v="5.1325931999999998E-2"/>
    <n v="4.9078677000000001E-2"/>
    <n v="5.3930101000000001E-2"/>
    <n v="0.15006551200000001"/>
    <n v="0.10169494900000001"/>
    <n v="0.305690562"/>
    <n v="3.4745915000000002E-2"/>
    <n v="9.0709425999999996E-2"/>
    <n v="2.9580869999999999E-2"/>
    <n v="1.7393573999999998E-2"/>
    <n v="1.6963913000000001E-2"/>
  </r>
  <r>
    <x v="421"/>
    <x v="207"/>
    <n v="5.6239209999999998E-2"/>
    <n v="5.5893982000000002E-2"/>
    <n v="6.5543959999999998E-2"/>
    <n v="0.13565514100000001"/>
    <n v="9.1114872999999999E-2"/>
    <n v="0.29231397399999998"/>
    <n v="1.6715082999999999E-2"/>
    <n v="7.8283467999999995E-2"/>
    <n v="3.0044363000000001E-2"/>
    <n v="1.5958087999999999E-2"/>
    <n v="1.8035804999999999E-2"/>
  </r>
  <r>
    <x v="422"/>
    <x v="1"/>
    <n v="6.4009651000000001E-2"/>
    <n v="5.5337221999999998E-2"/>
    <n v="5.3887768000000003E-2"/>
    <n v="0.175776138"/>
    <n v="8.8851768999999997E-2"/>
    <n v="0.318515675"/>
    <n v="4.1590426999999999E-2"/>
    <n v="8.5687778000000006E-2"/>
    <n v="2.2050784E-2"/>
    <n v="1.4194605000000001E-2"/>
    <n v="1.3023966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A9965-1AE1-417B-87CA-37A10CAC7EE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12" firstHeaderRow="1" firstDataRow="1" firstDataCol="1"/>
  <pivotFields count="13">
    <pivotField showAll="0">
      <items count="424">
        <item x="274"/>
        <item x="103"/>
        <item x="311"/>
        <item x="27"/>
        <item x="86"/>
        <item x="41"/>
        <item x="281"/>
        <item x="300"/>
        <item x="294"/>
        <item x="290"/>
        <item x="22"/>
        <item x="276"/>
        <item x="132"/>
        <item x="121"/>
        <item x="12"/>
        <item x="54"/>
        <item x="139"/>
        <item x="58"/>
        <item x="104"/>
        <item x="61"/>
        <item x="173"/>
        <item x="298"/>
        <item x="183"/>
        <item x="16"/>
        <item x="40"/>
        <item x="282"/>
        <item x="177"/>
        <item x="197"/>
        <item x="129"/>
        <item x="233"/>
        <item x="37"/>
        <item x="88"/>
        <item x="227"/>
        <item x="117"/>
        <item x="21"/>
        <item x="260"/>
        <item x="10"/>
        <item x="0"/>
        <item x="164"/>
        <item x="273"/>
        <item x="140"/>
        <item x="55"/>
        <item x="224"/>
        <item x="96"/>
        <item x="17"/>
        <item x="99"/>
        <item x="253"/>
        <item x="85"/>
        <item x="93"/>
        <item x="126"/>
        <item x="159"/>
        <item x="289"/>
        <item x="36"/>
        <item x="3"/>
        <item x="217"/>
        <item x="304"/>
        <item x="232"/>
        <item x="313"/>
        <item x="64"/>
        <item x="166"/>
        <item x="275"/>
        <item x="230"/>
        <item x="256"/>
        <item x="109"/>
        <item x="8"/>
        <item x="200"/>
        <item x="122"/>
        <item x="286"/>
        <item x="23"/>
        <item x="225"/>
        <item x="81"/>
        <item x="288"/>
        <item x="124"/>
        <item x="204"/>
        <item x="306"/>
        <item x="307"/>
        <item x="82"/>
        <item x="90"/>
        <item x="180"/>
        <item x="196"/>
        <item x="152"/>
        <item x="147"/>
        <item x="189"/>
        <item x="284"/>
        <item x="226"/>
        <item x="28"/>
        <item x="257"/>
        <item x="248"/>
        <item x="262"/>
        <item x="4"/>
        <item x="216"/>
        <item x="97"/>
        <item x="255"/>
        <item x="34"/>
        <item x="264"/>
        <item x="192"/>
        <item x="170"/>
        <item x="91"/>
        <item x="145"/>
        <item x="169"/>
        <item x="258"/>
        <item x="168"/>
        <item x="194"/>
        <item x="271"/>
        <item x="2"/>
        <item x="297"/>
        <item x="74"/>
        <item x="133"/>
        <item x="52"/>
        <item x="403"/>
        <item x="402"/>
        <item x="375"/>
        <item x="409"/>
        <item x="419"/>
        <item x="356"/>
        <item x="417"/>
        <item x="323"/>
        <item x="399"/>
        <item x="363"/>
        <item x="357"/>
        <item x="367"/>
        <item x="379"/>
        <item x="340"/>
        <item x="420"/>
        <item x="332"/>
        <item x="373"/>
        <item x="407"/>
        <item x="422"/>
        <item x="414"/>
        <item x="364"/>
        <item x="331"/>
        <item x="395"/>
        <item x="412"/>
        <item x="394"/>
        <item x="368"/>
        <item x="386"/>
        <item x="329"/>
        <item x="365"/>
        <item x="411"/>
        <item x="354"/>
        <item x="335"/>
        <item x="377"/>
        <item x="415"/>
        <item x="360"/>
        <item x="380"/>
        <item x="352"/>
        <item x="338"/>
        <item x="53"/>
        <item x="142"/>
        <item x="278"/>
        <item x="57"/>
        <item x="219"/>
        <item x="112"/>
        <item x="195"/>
        <item x="187"/>
        <item x="128"/>
        <item x="235"/>
        <item x="178"/>
        <item x="251"/>
        <item x="7"/>
        <item x="259"/>
        <item x="211"/>
        <item x="163"/>
        <item x="146"/>
        <item x="263"/>
        <item x="184"/>
        <item x="246"/>
        <item x="250"/>
        <item x="172"/>
        <item x="33"/>
        <item x="59"/>
        <item x="295"/>
        <item x="179"/>
        <item x="245"/>
        <item x="270"/>
        <item x="31"/>
        <item x="252"/>
        <item x="24"/>
        <item x="43"/>
        <item x="221"/>
        <item x="207"/>
        <item x="299"/>
        <item x="342"/>
        <item x="181"/>
        <item x="188"/>
        <item x="316"/>
        <item x="25"/>
        <item x="83"/>
        <item x="80"/>
        <item x="56"/>
        <item x="30"/>
        <item x="156"/>
        <item x="390"/>
        <item x="413"/>
        <item x="385"/>
        <item x="358"/>
        <item x="372"/>
        <item x="328"/>
        <item x="14"/>
        <item x="108"/>
        <item x="154"/>
        <item x="44"/>
        <item x="1"/>
        <item x="161"/>
        <item x="46"/>
        <item x="111"/>
        <item x="301"/>
        <item x="67"/>
        <item x="39"/>
        <item x="214"/>
        <item x="272"/>
        <item x="137"/>
        <item x="383"/>
        <item x="366"/>
        <item x="384"/>
        <item x="84"/>
        <item x="167"/>
        <item x="199"/>
        <item x="162"/>
        <item x="185"/>
        <item x="218"/>
        <item x="182"/>
        <item x="19"/>
        <item x="203"/>
        <item x="32"/>
        <item x="115"/>
        <item x="213"/>
        <item x="13"/>
        <item x="205"/>
        <item x="312"/>
        <item x="215"/>
        <item x="100"/>
        <item x="249"/>
        <item x="110"/>
        <item x="89"/>
        <item x="51"/>
        <item x="220"/>
        <item x="277"/>
        <item x="114"/>
        <item x="47"/>
        <item x="153"/>
        <item x="157"/>
        <item x="95"/>
        <item x="144"/>
        <item x="223"/>
        <item x="210"/>
        <item x="45"/>
        <item x="143"/>
        <item x="107"/>
        <item x="160"/>
        <item x="15"/>
        <item x="119"/>
        <item x="285"/>
        <item x="237"/>
        <item x="135"/>
        <item x="239"/>
        <item x="158"/>
        <item x="38"/>
        <item x="101"/>
        <item x="283"/>
        <item x="209"/>
        <item x="116"/>
        <item x="171"/>
        <item x="198"/>
        <item x="236"/>
        <item x="75"/>
        <item x="302"/>
        <item x="175"/>
        <item x="29"/>
        <item x="296"/>
        <item x="287"/>
        <item x="5"/>
        <item x="242"/>
        <item x="26"/>
        <item x="193"/>
        <item x="244"/>
        <item x="389"/>
        <item x="387"/>
        <item x="345"/>
        <item x="321"/>
        <item x="421"/>
        <item x="369"/>
        <item x="318"/>
        <item x="396"/>
        <item x="382"/>
        <item x="319"/>
        <item x="348"/>
        <item x="339"/>
        <item x="388"/>
        <item x="35"/>
        <item x="228"/>
        <item x="241"/>
        <item x="314"/>
        <item x="234"/>
        <item x="176"/>
        <item x="268"/>
        <item x="155"/>
        <item x="150"/>
        <item x="190"/>
        <item x="94"/>
        <item x="60"/>
        <item x="76"/>
        <item x="267"/>
        <item x="123"/>
        <item x="130"/>
        <item x="238"/>
        <item x="148"/>
        <item x="9"/>
        <item x="191"/>
        <item x="20"/>
        <item x="201"/>
        <item x="293"/>
        <item x="136"/>
        <item x="333"/>
        <item x="416"/>
        <item x="361"/>
        <item x="404"/>
        <item x="391"/>
        <item x="397"/>
        <item x="381"/>
        <item x="355"/>
        <item x="326"/>
        <item x="330"/>
        <item x="418"/>
        <item x="322"/>
        <item x="353"/>
        <item x="351"/>
        <item x="378"/>
        <item x="349"/>
        <item x="320"/>
        <item x="401"/>
        <item x="400"/>
        <item x="344"/>
        <item x="359"/>
        <item x="410"/>
        <item x="362"/>
        <item x="392"/>
        <item x="408"/>
        <item x="341"/>
        <item x="324"/>
        <item x="105"/>
        <item x="70"/>
        <item x="49"/>
        <item x="305"/>
        <item x="151"/>
        <item x="308"/>
        <item x="240"/>
        <item x="243"/>
        <item x="62"/>
        <item x="92"/>
        <item x="71"/>
        <item x="127"/>
        <item x="120"/>
        <item x="113"/>
        <item x="138"/>
        <item x="229"/>
        <item x="63"/>
        <item x="266"/>
        <item x="350"/>
        <item x="334"/>
        <item x="337"/>
        <item x="371"/>
        <item x="406"/>
        <item x="336"/>
        <item x="327"/>
        <item x="398"/>
        <item x="370"/>
        <item x="376"/>
        <item x="405"/>
        <item x="343"/>
        <item x="261"/>
        <item x="65"/>
        <item x="6"/>
        <item x="77"/>
        <item x="208"/>
        <item x="50"/>
        <item x="78"/>
        <item x="202"/>
        <item x="72"/>
        <item x="291"/>
        <item x="11"/>
        <item x="48"/>
        <item x="280"/>
        <item x="174"/>
        <item x="125"/>
        <item x="279"/>
        <item x="309"/>
        <item x="247"/>
        <item x="292"/>
        <item x="303"/>
        <item x="212"/>
        <item x="265"/>
        <item x="254"/>
        <item x="102"/>
        <item x="18"/>
        <item x="317"/>
        <item x="87"/>
        <item x="134"/>
        <item x="393"/>
        <item x="346"/>
        <item x="325"/>
        <item x="347"/>
        <item x="374"/>
        <item x="186"/>
        <item x="206"/>
        <item x="68"/>
        <item x="269"/>
        <item x="69"/>
        <item x="98"/>
        <item x="165"/>
        <item x="118"/>
        <item x="149"/>
        <item x="141"/>
        <item x="315"/>
        <item x="73"/>
        <item x="131"/>
        <item x="42"/>
        <item x="231"/>
        <item x="79"/>
        <item x="222"/>
        <item x="310"/>
        <item x="106"/>
        <item x="66"/>
        <item t="default"/>
      </items>
    </pivotField>
    <pivotField axis="axisRow" showAll="0">
      <items count="209">
        <item x="1"/>
        <item x="202"/>
        <item x="190"/>
        <item x="201"/>
        <item x="120"/>
        <item x="175"/>
        <item x="149"/>
        <item x="168"/>
        <item x="37"/>
        <item x="159"/>
        <item x="44"/>
        <item x="23"/>
        <item x="199"/>
        <item x="56"/>
        <item x="179"/>
        <item x="123"/>
        <item x="163"/>
        <item x="184"/>
        <item x="140"/>
        <item x="180"/>
        <item x="109"/>
        <item x="34"/>
        <item x="51"/>
        <item x="205"/>
        <item x="3"/>
        <item x="108"/>
        <item x="187"/>
        <item x="158"/>
        <item x="182"/>
        <item x="77"/>
        <item x="8"/>
        <item x="74"/>
        <item x="49"/>
        <item x="63"/>
        <item x="53"/>
        <item x="167"/>
        <item x="31"/>
        <item x="65"/>
        <item x="82"/>
        <item x="173"/>
        <item x="169"/>
        <item x="86"/>
        <item x="46"/>
        <item x="12"/>
        <item x="71"/>
        <item x="117"/>
        <item x="36"/>
        <item x="189"/>
        <item x="146"/>
        <item x="26"/>
        <item x="70"/>
        <item x="195"/>
        <item x="43"/>
        <item x="171"/>
        <item x="72"/>
        <item x="150"/>
        <item x="45"/>
        <item x="185"/>
        <item x="25"/>
        <item x="30"/>
        <item x="83"/>
        <item x="105"/>
        <item x="144"/>
        <item x="0"/>
        <item x="85"/>
        <item x="176"/>
        <item x="162"/>
        <item x="204"/>
        <item x="33"/>
        <item x="61"/>
        <item x="186"/>
        <item x="116"/>
        <item x="127"/>
        <item x="6"/>
        <item x="84"/>
        <item x="59"/>
        <item x="183"/>
        <item x="110"/>
        <item x="207"/>
        <item x="111"/>
        <item x="206"/>
        <item x="107"/>
        <item x="118"/>
        <item x="4"/>
        <item x="133"/>
        <item x="96"/>
        <item x="164"/>
        <item x="143"/>
        <item x="78"/>
        <item x="151"/>
        <item x="29"/>
        <item x="50"/>
        <item x="194"/>
        <item x="11"/>
        <item x="132"/>
        <item x="9"/>
        <item x="137"/>
        <item x="198"/>
        <item x="104"/>
        <item x="188"/>
        <item x="80"/>
        <item x="32"/>
        <item x="128"/>
        <item x="67"/>
        <item x="193"/>
        <item x="95"/>
        <item x="114"/>
        <item x="196"/>
        <item x="178"/>
        <item x="124"/>
        <item x="165"/>
        <item x="66"/>
        <item x="119"/>
        <item x="126"/>
        <item x="153"/>
        <item x="99"/>
        <item x="138"/>
        <item x="161"/>
        <item x="90"/>
        <item x="27"/>
        <item x="69"/>
        <item x="112"/>
        <item x="102"/>
        <item x="92"/>
        <item x="142"/>
        <item x="98"/>
        <item x="177"/>
        <item x="170"/>
        <item x="62"/>
        <item x="148"/>
        <item x="79"/>
        <item x="13"/>
        <item x="139"/>
        <item x="141"/>
        <item x="15"/>
        <item x="68"/>
        <item x="106"/>
        <item x="38"/>
        <item x="166"/>
        <item x="155"/>
        <item x="174"/>
        <item x="28"/>
        <item x="39"/>
        <item x="41"/>
        <item x="18"/>
        <item x="93"/>
        <item x="203"/>
        <item x="181"/>
        <item x="55"/>
        <item x="157"/>
        <item x="101"/>
        <item x="134"/>
        <item x="54"/>
        <item x="17"/>
        <item x="81"/>
        <item x="94"/>
        <item x="152"/>
        <item x="5"/>
        <item x="22"/>
        <item x="87"/>
        <item x="113"/>
        <item x="48"/>
        <item x="19"/>
        <item x="103"/>
        <item x="58"/>
        <item x="200"/>
        <item x="172"/>
        <item x="115"/>
        <item x="40"/>
        <item x="91"/>
        <item x="14"/>
        <item x="42"/>
        <item x="160"/>
        <item x="197"/>
        <item x="129"/>
        <item x="192"/>
        <item x="21"/>
        <item x="154"/>
        <item x="147"/>
        <item x="7"/>
        <item x="97"/>
        <item x="73"/>
        <item x="24"/>
        <item x="75"/>
        <item x="121"/>
        <item x="10"/>
        <item x="64"/>
        <item x="52"/>
        <item x="156"/>
        <item x="57"/>
        <item x="135"/>
        <item x="136"/>
        <item x="88"/>
        <item x="125"/>
        <item x="20"/>
        <item x="122"/>
        <item x="89"/>
        <item x="145"/>
        <item x="60"/>
        <item x="100"/>
        <item x="131"/>
        <item x="130"/>
        <item x="47"/>
        <item x="35"/>
        <item x="16"/>
        <item x="76"/>
        <item x="19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BA79-833B-409B-A2A9-2E84CA031E00}">
  <dimension ref="A3:A21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08" width="16.28515625" bestFit="1" customWidth="1"/>
    <col min="209" max="209" width="11.28515625" bestFit="1" customWidth="1"/>
    <col min="210" max="423" width="18.5703125" bestFit="1" customWidth="1"/>
    <col min="424" max="425" width="11.28515625" bestFit="1" customWidth="1"/>
  </cols>
  <sheetData>
    <row r="3" spans="1:1" x14ac:dyDescent="0.25">
      <c r="A3" s="7" t="s">
        <v>442</v>
      </c>
    </row>
    <row r="4" spans="1:1" x14ac:dyDescent="0.25">
      <c r="A4" s="8">
        <v>0</v>
      </c>
    </row>
    <row r="5" spans="1:1" x14ac:dyDescent="0.25">
      <c r="A5" s="8">
        <v>1.4034200000000001E-4</v>
      </c>
    </row>
    <row r="6" spans="1:1" x14ac:dyDescent="0.25">
      <c r="A6" s="8">
        <v>2.0469600000000001E-4</v>
      </c>
    </row>
    <row r="7" spans="1:1" x14ac:dyDescent="0.25">
      <c r="A7" s="8">
        <v>2.1929499999999999E-4</v>
      </c>
    </row>
    <row r="8" spans="1:1" x14ac:dyDescent="0.25">
      <c r="A8" s="8">
        <v>2.4550400000000001E-4</v>
      </c>
    </row>
    <row r="9" spans="1:1" x14ac:dyDescent="0.25">
      <c r="A9" s="8">
        <v>3.0572999999999999E-4</v>
      </c>
    </row>
    <row r="10" spans="1:1" x14ac:dyDescent="0.25">
      <c r="A10" s="8">
        <v>4.5803499999999997E-4</v>
      </c>
    </row>
    <row r="11" spans="1:1" x14ac:dyDescent="0.25">
      <c r="A11" s="8">
        <v>5.3255100000000003E-4</v>
      </c>
    </row>
    <row r="12" spans="1:1" x14ac:dyDescent="0.25">
      <c r="A12" s="8">
        <v>6.4819499999999996E-4</v>
      </c>
    </row>
    <row r="13" spans="1:1" x14ac:dyDescent="0.25">
      <c r="A13" s="8">
        <v>6.9538E-4</v>
      </c>
    </row>
    <row r="14" spans="1:1" x14ac:dyDescent="0.25">
      <c r="A14" s="8">
        <v>6.9558900000000004E-4</v>
      </c>
    </row>
    <row r="15" spans="1:1" x14ac:dyDescent="0.25">
      <c r="A15" s="8">
        <v>7.26263E-4</v>
      </c>
    </row>
    <row r="16" spans="1:1" x14ac:dyDescent="0.25">
      <c r="A16" s="8">
        <v>8.07221E-4</v>
      </c>
    </row>
    <row r="17" spans="1:1" x14ac:dyDescent="0.25">
      <c r="A17" s="8">
        <v>8.7662000000000005E-4</v>
      </c>
    </row>
    <row r="18" spans="1:1" x14ac:dyDescent="0.25">
      <c r="A18" s="8">
        <v>9.1608900000000003E-4</v>
      </c>
    </row>
    <row r="19" spans="1:1" x14ac:dyDescent="0.25">
      <c r="A19" s="8">
        <v>1.1407500000000001E-3</v>
      </c>
    </row>
    <row r="20" spans="1:1" x14ac:dyDescent="0.25">
      <c r="A20" s="8">
        <v>1.1433249999999999E-3</v>
      </c>
    </row>
    <row r="21" spans="1:1" x14ac:dyDescent="0.25">
      <c r="A21" s="8">
        <v>1.146151E-3</v>
      </c>
    </row>
    <row r="22" spans="1:1" x14ac:dyDescent="0.25">
      <c r="A22" s="8">
        <v>1.171203E-3</v>
      </c>
    </row>
    <row r="23" spans="1:1" x14ac:dyDescent="0.25">
      <c r="A23" s="8">
        <v>1.188164E-3</v>
      </c>
    </row>
    <row r="24" spans="1:1" x14ac:dyDescent="0.25">
      <c r="A24" s="8">
        <v>1.3192779999999999E-3</v>
      </c>
    </row>
    <row r="25" spans="1:1" x14ac:dyDescent="0.25">
      <c r="A25" s="8">
        <v>1.3771079999999999E-3</v>
      </c>
    </row>
    <row r="26" spans="1:1" x14ac:dyDescent="0.25">
      <c r="A26" s="8">
        <v>1.424278E-3</v>
      </c>
    </row>
    <row r="27" spans="1:1" x14ac:dyDescent="0.25">
      <c r="A27" s="8">
        <v>1.4789899999999999E-3</v>
      </c>
    </row>
    <row r="28" spans="1:1" x14ac:dyDescent="0.25">
      <c r="A28" s="8">
        <v>1.6660469999999999E-3</v>
      </c>
    </row>
    <row r="29" spans="1:1" x14ac:dyDescent="0.25">
      <c r="A29" s="8">
        <v>1.6980929999999999E-3</v>
      </c>
    </row>
    <row r="30" spans="1:1" x14ac:dyDescent="0.25">
      <c r="A30" s="8">
        <v>1.856365E-3</v>
      </c>
    </row>
    <row r="31" spans="1:1" x14ac:dyDescent="0.25">
      <c r="A31" s="8">
        <v>1.8801480000000001E-3</v>
      </c>
    </row>
    <row r="32" spans="1:1" x14ac:dyDescent="0.25">
      <c r="A32" s="8">
        <v>1.903891E-3</v>
      </c>
    </row>
    <row r="33" spans="1:1" x14ac:dyDescent="0.25">
      <c r="A33" s="8">
        <v>2.029575E-3</v>
      </c>
    </row>
    <row r="34" spans="1:1" x14ac:dyDescent="0.25">
      <c r="A34" s="8">
        <v>2.0750360000000002E-3</v>
      </c>
    </row>
    <row r="35" spans="1:1" x14ac:dyDescent="0.25">
      <c r="A35" s="8">
        <v>2.1926810000000001E-3</v>
      </c>
    </row>
    <row r="36" spans="1:1" x14ac:dyDescent="0.25">
      <c r="A36" s="8">
        <v>2.3402430000000001E-3</v>
      </c>
    </row>
    <row r="37" spans="1:1" x14ac:dyDescent="0.25">
      <c r="A37" s="8">
        <v>2.3471149999999999E-3</v>
      </c>
    </row>
    <row r="38" spans="1:1" x14ac:dyDescent="0.25">
      <c r="A38" s="8">
        <v>2.3880080000000001E-3</v>
      </c>
    </row>
    <row r="39" spans="1:1" x14ac:dyDescent="0.25">
      <c r="A39" s="8">
        <v>2.4202859999999998E-3</v>
      </c>
    </row>
    <row r="40" spans="1:1" x14ac:dyDescent="0.25">
      <c r="A40" s="8">
        <v>2.4270989999999998E-3</v>
      </c>
    </row>
    <row r="41" spans="1:1" x14ac:dyDescent="0.25">
      <c r="A41" s="8">
        <v>2.683497E-3</v>
      </c>
    </row>
    <row r="42" spans="1:1" x14ac:dyDescent="0.25">
      <c r="A42" s="8">
        <v>2.7645669999999999E-3</v>
      </c>
    </row>
    <row r="43" spans="1:1" x14ac:dyDescent="0.25">
      <c r="A43" s="8">
        <v>2.765104E-3</v>
      </c>
    </row>
    <row r="44" spans="1:1" x14ac:dyDescent="0.25">
      <c r="A44" s="8">
        <v>2.7686080000000001E-3</v>
      </c>
    </row>
    <row r="45" spans="1:1" x14ac:dyDescent="0.25">
      <c r="A45" s="8">
        <v>2.916886E-3</v>
      </c>
    </row>
    <row r="46" spans="1:1" x14ac:dyDescent="0.25">
      <c r="A46" s="8">
        <v>2.9395340000000002E-3</v>
      </c>
    </row>
    <row r="47" spans="1:1" x14ac:dyDescent="0.25">
      <c r="A47" s="8">
        <v>3.1444699999999999E-3</v>
      </c>
    </row>
    <row r="48" spans="1:1" x14ac:dyDescent="0.25">
      <c r="A48" s="8">
        <v>3.5315059999999998E-3</v>
      </c>
    </row>
    <row r="49" spans="1:1" x14ac:dyDescent="0.25">
      <c r="A49" s="8">
        <v>3.540077E-3</v>
      </c>
    </row>
    <row r="50" spans="1:1" x14ac:dyDescent="0.25">
      <c r="A50" s="8">
        <v>3.568206E-3</v>
      </c>
    </row>
    <row r="51" spans="1:1" x14ac:dyDescent="0.25">
      <c r="A51" s="8">
        <v>3.698509E-3</v>
      </c>
    </row>
    <row r="52" spans="1:1" x14ac:dyDescent="0.25">
      <c r="A52" s="8">
        <v>3.9703150000000003E-3</v>
      </c>
    </row>
    <row r="53" spans="1:1" x14ac:dyDescent="0.25">
      <c r="A53" s="8">
        <v>4.02922E-3</v>
      </c>
    </row>
    <row r="54" spans="1:1" x14ac:dyDescent="0.25">
      <c r="A54" s="8">
        <v>4.0702760000000003E-3</v>
      </c>
    </row>
    <row r="55" spans="1:1" x14ac:dyDescent="0.25">
      <c r="A55" s="8">
        <v>4.0961560000000001E-3</v>
      </c>
    </row>
    <row r="56" spans="1:1" x14ac:dyDescent="0.25">
      <c r="A56" s="8">
        <v>4.2170710000000002E-3</v>
      </c>
    </row>
    <row r="57" spans="1:1" x14ac:dyDescent="0.25">
      <c r="A57" s="8">
        <v>4.2247329999999996E-3</v>
      </c>
    </row>
    <row r="58" spans="1:1" x14ac:dyDescent="0.25">
      <c r="A58" s="8">
        <v>4.3375050000000002E-3</v>
      </c>
    </row>
    <row r="59" spans="1:1" x14ac:dyDescent="0.25">
      <c r="A59" s="8">
        <v>4.3584009999999996E-3</v>
      </c>
    </row>
    <row r="60" spans="1:1" x14ac:dyDescent="0.25">
      <c r="A60" s="8">
        <v>4.4135529999999997E-3</v>
      </c>
    </row>
    <row r="61" spans="1:1" x14ac:dyDescent="0.25">
      <c r="A61" s="8">
        <v>4.5601110000000004E-3</v>
      </c>
    </row>
    <row r="62" spans="1:1" x14ac:dyDescent="0.25">
      <c r="A62" s="8">
        <v>4.847138E-3</v>
      </c>
    </row>
    <row r="63" spans="1:1" x14ac:dyDescent="0.25">
      <c r="A63" s="8">
        <v>5.0552100000000001E-3</v>
      </c>
    </row>
    <row r="64" spans="1:1" x14ac:dyDescent="0.25">
      <c r="A64" s="8">
        <v>5.0834950000000004E-3</v>
      </c>
    </row>
    <row r="65" spans="1:1" x14ac:dyDescent="0.25">
      <c r="A65" s="8">
        <v>5.0891970000000002E-3</v>
      </c>
    </row>
    <row r="66" spans="1:1" x14ac:dyDescent="0.25">
      <c r="A66" s="8">
        <v>5.2389439999999997E-3</v>
      </c>
    </row>
    <row r="67" spans="1:1" x14ac:dyDescent="0.25">
      <c r="A67" s="8">
        <v>5.3629130000000004E-3</v>
      </c>
    </row>
    <row r="68" spans="1:1" x14ac:dyDescent="0.25">
      <c r="A68" s="8">
        <v>5.4310299999999999E-3</v>
      </c>
    </row>
    <row r="69" spans="1:1" x14ac:dyDescent="0.25">
      <c r="A69" s="8">
        <v>5.5193839999999996E-3</v>
      </c>
    </row>
    <row r="70" spans="1:1" x14ac:dyDescent="0.25">
      <c r="A70" s="8">
        <v>5.5236720000000003E-3</v>
      </c>
    </row>
    <row r="71" spans="1:1" x14ac:dyDescent="0.25">
      <c r="A71" s="8">
        <v>5.5614810000000001E-3</v>
      </c>
    </row>
    <row r="72" spans="1:1" x14ac:dyDescent="0.25">
      <c r="A72" s="8">
        <v>5.9226030000000002E-3</v>
      </c>
    </row>
    <row r="73" spans="1:1" x14ac:dyDescent="0.25">
      <c r="A73" s="8">
        <v>6.0178640000000004E-3</v>
      </c>
    </row>
    <row r="74" spans="1:1" x14ac:dyDescent="0.25">
      <c r="A74" s="8">
        <v>6.0259349999999996E-3</v>
      </c>
    </row>
    <row r="75" spans="1:1" x14ac:dyDescent="0.25">
      <c r="A75" s="8">
        <v>6.1417470000000004E-3</v>
      </c>
    </row>
    <row r="76" spans="1:1" x14ac:dyDescent="0.25">
      <c r="A76" s="8">
        <v>6.1679200000000003E-3</v>
      </c>
    </row>
    <row r="77" spans="1:1" x14ac:dyDescent="0.25">
      <c r="A77" s="8">
        <v>6.2019019999999996E-3</v>
      </c>
    </row>
    <row r="78" spans="1:1" x14ac:dyDescent="0.25">
      <c r="A78" s="8">
        <v>6.2146060000000001E-3</v>
      </c>
    </row>
    <row r="79" spans="1:1" x14ac:dyDescent="0.25">
      <c r="A79" s="8">
        <v>6.2235119999999996E-3</v>
      </c>
    </row>
    <row r="80" spans="1:1" x14ac:dyDescent="0.25">
      <c r="A80" s="8">
        <v>6.224177E-3</v>
      </c>
    </row>
    <row r="81" spans="1:1" x14ac:dyDescent="0.25">
      <c r="A81" s="8">
        <v>6.2416290000000003E-3</v>
      </c>
    </row>
    <row r="82" spans="1:1" x14ac:dyDescent="0.25">
      <c r="A82" s="8">
        <v>6.3195200000000003E-3</v>
      </c>
    </row>
    <row r="83" spans="1:1" x14ac:dyDescent="0.25">
      <c r="A83" s="8">
        <v>6.3515919999999997E-3</v>
      </c>
    </row>
    <row r="84" spans="1:1" x14ac:dyDescent="0.25">
      <c r="A84" s="8">
        <v>6.6025119999999996E-3</v>
      </c>
    </row>
    <row r="85" spans="1:1" x14ac:dyDescent="0.25">
      <c r="A85" s="8">
        <v>6.6173309999999997E-3</v>
      </c>
    </row>
    <row r="86" spans="1:1" x14ac:dyDescent="0.25">
      <c r="A86" s="8">
        <v>6.6288079999999999E-3</v>
      </c>
    </row>
    <row r="87" spans="1:1" x14ac:dyDescent="0.25">
      <c r="A87" s="8">
        <v>6.8858030000000002E-3</v>
      </c>
    </row>
    <row r="88" spans="1:1" x14ac:dyDescent="0.25">
      <c r="A88" s="8">
        <v>6.9979730000000002E-3</v>
      </c>
    </row>
    <row r="89" spans="1:1" x14ac:dyDescent="0.25">
      <c r="A89" s="8">
        <v>7.092971E-3</v>
      </c>
    </row>
    <row r="90" spans="1:1" x14ac:dyDescent="0.25">
      <c r="A90" s="8">
        <v>7.1248500000000003E-3</v>
      </c>
    </row>
    <row r="91" spans="1:1" x14ac:dyDescent="0.25">
      <c r="A91" s="8">
        <v>7.1289500000000002E-3</v>
      </c>
    </row>
    <row r="92" spans="1:1" x14ac:dyDescent="0.25">
      <c r="A92" s="8">
        <v>7.2636829999999999E-3</v>
      </c>
    </row>
    <row r="93" spans="1:1" x14ac:dyDescent="0.25">
      <c r="A93" s="8">
        <v>7.3886860000000002E-3</v>
      </c>
    </row>
    <row r="94" spans="1:1" x14ac:dyDescent="0.25">
      <c r="A94" s="8">
        <v>7.8388659999999999E-3</v>
      </c>
    </row>
    <row r="95" spans="1:1" x14ac:dyDescent="0.25">
      <c r="A95" s="8">
        <v>7.8524809999999997E-3</v>
      </c>
    </row>
    <row r="96" spans="1:1" x14ac:dyDescent="0.25">
      <c r="A96" s="8">
        <v>7.8972299999999999E-3</v>
      </c>
    </row>
    <row r="97" spans="1:1" x14ac:dyDescent="0.25">
      <c r="A97" s="8">
        <v>8.0842199999999996E-3</v>
      </c>
    </row>
    <row r="98" spans="1:1" x14ac:dyDescent="0.25">
      <c r="A98" s="8">
        <v>8.139627E-3</v>
      </c>
    </row>
    <row r="99" spans="1:1" x14ac:dyDescent="0.25">
      <c r="A99" s="8">
        <v>8.2725939999999994E-3</v>
      </c>
    </row>
    <row r="100" spans="1:1" x14ac:dyDescent="0.25">
      <c r="A100" s="8">
        <v>8.2886239999999996E-3</v>
      </c>
    </row>
    <row r="101" spans="1:1" x14ac:dyDescent="0.25">
      <c r="A101" s="8">
        <v>8.3297470000000002E-3</v>
      </c>
    </row>
    <row r="102" spans="1:1" x14ac:dyDescent="0.25">
      <c r="A102" s="8">
        <v>8.3969800000000001E-3</v>
      </c>
    </row>
    <row r="103" spans="1:1" x14ac:dyDescent="0.25">
      <c r="A103" s="8">
        <v>8.4053180000000002E-3</v>
      </c>
    </row>
    <row r="104" spans="1:1" x14ac:dyDescent="0.25">
      <c r="A104" s="8">
        <v>8.5807430000000001E-3</v>
      </c>
    </row>
    <row r="105" spans="1:1" x14ac:dyDescent="0.25">
      <c r="A105" s="8">
        <v>8.7066090000000006E-3</v>
      </c>
    </row>
    <row r="106" spans="1:1" x14ac:dyDescent="0.25">
      <c r="A106" s="8">
        <v>8.8221020000000001E-3</v>
      </c>
    </row>
    <row r="107" spans="1:1" x14ac:dyDescent="0.25">
      <c r="A107" s="8">
        <v>8.9335679999999994E-3</v>
      </c>
    </row>
    <row r="108" spans="1:1" x14ac:dyDescent="0.25">
      <c r="A108" s="8">
        <v>8.9832969999999995E-3</v>
      </c>
    </row>
    <row r="109" spans="1:1" x14ac:dyDescent="0.25">
      <c r="A109" s="8">
        <v>9.0014069999999995E-3</v>
      </c>
    </row>
    <row r="110" spans="1:1" x14ac:dyDescent="0.25">
      <c r="A110" s="8">
        <v>9.0394110000000007E-3</v>
      </c>
    </row>
    <row r="111" spans="1:1" x14ac:dyDescent="0.25">
      <c r="A111" s="8">
        <v>9.0595459999999999E-3</v>
      </c>
    </row>
    <row r="112" spans="1:1" x14ac:dyDescent="0.25">
      <c r="A112" s="8">
        <v>9.106655E-3</v>
      </c>
    </row>
    <row r="113" spans="1:1" x14ac:dyDescent="0.25">
      <c r="A113" s="8">
        <v>9.5007719999999993E-3</v>
      </c>
    </row>
    <row r="114" spans="1:1" x14ac:dyDescent="0.25">
      <c r="A114" s="8">
        <v>9.5034579999999994E-3</v>
      </c>
    </row>
    <row r="115" spans="1:1" x14ac:dyDescent="0.25">
      <c r="A115" s="8">
        <v>9.9090859999999992E-3</v>
      </c>
    </row>
    <row r="116" spans="1:1" x14ac:dyDescent="0.25">
      <c r="A116" s="8">
        <v>1.0037149E-2</v>
      </c>
    </row>
    <row r="117" spans="1:1" x14ac:dyDescent="0.25">
      <c r="A117" s="8">
        <v>1.0184856000000001E-2</v>
      </c>
    </row>
    <row r="118" spans="1:1" x14ac:dyDescent="0.25">
      <c r="A118" s="8">
        <v>1.0184949E-2</v>
      </c>
    </row>
    <row r="119" spans="1:1" x14ac:dyDescent="0.25">
      <c r="A119" s="8">
        <v>1.0373426E-2</v>
      </c>
    </row>
    <row r="120" spans="1:1" x14ac:dyDescent="0.25">
      <c r="A120" s="8">
        <v>1.0523785000000001E-2</v>
      </c>
    </row>
    <row r="121" spans="1:1" x14ac:dyDescent="0.25">
      <c r="A121" s="8">
        <v>1.0703545E-2</v>
      </c>
    </row>
    <row r="122" spans="1:1" x14ac:dyDescent="0.25">
      <c r="A122" s="8">
        <v>1.0712361E-2</v>
      </c>
    </row>
    <row r="123" spans="1:1" x14ac:dyDescent="0.25">
      <c r="A123" s="8">
        <v>1.0754021000000001E-2</v>
      </c>
    </row>
    <row r="124" spans="1:1" x14ac:dyDescent="0.25">
      <c r="A124" s="8">
        <v>1.0787583E-2</v>
      </c>
    </row>
    <row r="125" spans="1:1" x14ac:dyDescent="0.25">
      <c r="A125" s="8">
        <v>1.0803597999999999E-2</v>
      </c>
    </row>
    <row r="126" spans="1:1" x14ac:dyDescent="0.25">
      <c r="A126" s="8">
        <v>1.097451E-2</v>
      </c>
    </row>
    <row r="127" spans="1:1" x14ac:dyDescent="0.25">
      <c r="A127" s="8">
        <v>1.0988097E-2</v>
      </c>
    </row>
    <row r="128" spans="1:1" x14ac:dyDescent="0.25">
      <c r="A128" s="8">
        <v>1.1142479E-2</v>
      </c>
    </row>
    <row r="129" spans="1:1" x14ac:dyDescent="0.25">
      <c r="A129" s="8">
        <v>1.1350144E-2</v>
      </c>
    </row>
    <row r="130" spans="1:1" x14ac:dyDescent="0.25">
      <c r="A130" s="8">
        <v>1.1556772999999999E-2</v>
      </c>
    </row>
    <row r="131" spans="1:1" x14ac:dyDescent="0.25">
      <c r="A131" s="8">
        <v>1.1736174E-2</v>
      </c>
    </row>
    <row r="132" spans="1:1" x14ac:dyDescent="0.25">
      <c r="A132" s="8">
        <v>1.1825667999999999E-2</v>
      </c>
    </row>
    <row r="133" spans="1:1" x14ac:dyDescent="0.25">
      <c r="A133" s="8">
        <v>1.1869945E-2</v>
      </c>
    </row>
    <row r="134" spans="1:1" x14ac:dyDescent="0.25">
      <c r="A134" s="8">
        <v>1.2147137000000001E-2</v>
      </c>
    </row>
    <row r="135" spans="1:1" x14ac:dyDescent="0.25">
      <c r="A135" s="8">
        <v>1.2176256999999999E-2</v>
      </c>
    </row>
    <row r="136" spans="1:1" x14ac:dyDescent="0.25">
      <c r="A136" s="8">
        <v>1.2308062999999999E-2</v>
      </c>
    </row>
    <row r="137" spans="1:1" x14ac:dyDescent="0.25">
      <c r="A137" s="8">
        <v>1.2607698000000001E-2</v>
      </c>
    </row>
    <row r="138" spans="1:1" x14ac:dyDescent="0.25">
      <c r="A138" s="8">
        <v>1.2684747999999999E-2</v>
      </c>
    </row>
    <row r="139" spans="1:1" x14ac:dyDescent="0.25">
      <c r="A139" s="8">
        <v>1.2706787000000001E-2</v>
      </c>
    </row>
    <row r="140" spans="1:1" x14ac:dyDescent="0.25">
      <c r="A140" s="8">
        <v>1.2828192E-2</v>
      </c>
    </row>
    <row r="141" spans="1:1" x14ac:dyDescent="0.25">
      <c r="A141" s="8">
        <v>1.2876090999999999E-2</v>
      </c>
    </row>
    <row r="142" spans="1:1" x14ac:dyDescent="0.25">
      <c r="A142" s="8">
        <v>1.3144813999999999E-2</v>
      </c>
    </row>
    <row r="143" spans="1:1" x14ac:dyDescent="0.25">
      <c r="A143" s="8">
        <v>1.3220399000000001E-2</v>
      </c>
    </row>
    <row r="144" spans="1:1" x14ac:dyDescent="0.25">
      <c r="A144" s="8">
        <v>1.3362002E-2</v>
      </c>
    </row>
    <row r="145" spans="1:1" x14ac:dyDescent="0.25">
      <c r="A145" s="8">
        <v>1.3582006000000001E-2</v>
      </c>
    </row>
    <row r="146" spans="1:1" x14ac:dyDescent="0.25">
      <c r="A146" s="8">
        <v>1.4026739E-2</v>
      </c>
    </row>
    <row r="147" spans="1:1" x14ac:dyDescent="0.25">
      <c r="A147" s="8">
        <v>1.4062710000000001E-2</v>
      </c>
    </row>
    <row r="148" spans="1:1" x14ac:dyDescent="0.25">
      <c r="A148" s="8">
        <v>1.4085723E-2</v>
      </c>
    </row>
    <row r="149" spans="1:1" x14ac:dyDescent="0.25">
      <c r="A149" s="8">
        <v>1.4155127E-2</v>
      </c>
    </row>
    <row r="150" spans="1:1" x14ac:dyDescent="0.25">
      <c r="A150" s="8">
        <v>1.4374779000000001E-2</v>
      </c>
    </row>
    <row r="151" spans="1:1" x14ac:dyDescent="0.25">
      <c r="A151" s="8">
        <v>1.5067488E-2</v>
      </c>
    </row>
    <row r="152" spans="1:1" x14ac:dyDescent="0.25">
      <c r="A152" s="8">
        <v>1.5183523000000001E-2</v>
      </c>
    </row>
    <row r="153" spans="1:1" x14ac:dyDescent="0.25">
      <c r="A153" s="8">
        <v>1.526915E-2</v>
      </c>
    </row>
    <row r="154" spans="1:1" x14ac:dyDescent="0.25">
      <c r="A154" s="8">
        <v>1.5375381E-2</v>
      </c>
    </row>
    <row r="155" spans="1:1" x14ac:dyDescent="0.25">
      <c r="A155" s="8">
        <v>1.5426758E-2</v>
      </c>
    </row>
    <row r="156" spans="1:1" x14ac:dyDescent="0.25">
      <c r="A156" s="8">
        <v>1.5514131E-2</v>
      </c>
    </row>
    <row r="157" spans="1:1" x14ac:dyDescent="0.25">
      <c r="A157" s="8">
        <v>1.5551947999999999E-2</v>
      </c>
    </row>
    <row r="158" spans="1:1" x14ac:dyDescent="0.25">
      <c r="A158" s="8">
        <v>1.5561029000000001E-2</v>
      </c>
    </row>
    <row r="159" spans="1:1" x14ac:dyDescent="0.25">
      <c r="A159" s="8">
        <v>1.5611167E-2</v>
      </c>
    </row>
    <row r="160" spans="1:1" x14ac:dyDescent="0.25">
      <c r="A160" s="8">
        <v>1.5958697000000001E-2</v>
      </c>
    </row>
    <row r="161" spans="1:1" x14ac:dyDescent="0.25">
      <c r="A161" s="8">
        <v>1.5974254E-2</v>
      </c>
    </row>
    <row r="162" spans="1:1" x14ac:dyDescent="0.25">
      <c r="A162" s="8">
        <v>1.6002776999999999E-2</v>
      </c>
    </row>
    <row r="163" spans="1:1" x14ac:dyDescent="0.25">
      <c r="A163" s="8">
        <v>1.6083763000000001E-2</v>
      </c>
    </row>
    <row r="164" spans="1:1" x14ac:dyDescent="0.25">
      <c r="A164" s="8">
        <v>1.6296066000000001E-2</v>
      </c>
    </row>
    <row r="165" spans="1:1" x14ac:dyDescent="0.25">
      <c r="A165" s="8">
        <v>1.6426636000000001E-2</v>
      </c>
    </row>
    <row r="166" spans="1:1" x14ac:dyDescent="0.25">
      <c r="A166" s="8">
        <v>1.6446347E-2</v>
      </c>
    </row>
    <row r="167" spans="1:1" x14ac:dyDescent="0.25">
      <c r="A167" s="8">
        <v>1.6548955000000001E-2</v>
      </c>
    </row>
    <row r="168" spans="1:1" x14ac:dyDescent="0.25">
      <c r="A168" s="8">
        <v>1.6909968000000001E-2</v>
      </c>
    </row>
    <row r="169" spans="1:1" x14ac:dyDescent="0.25">
      <c r="A169" s="8">
        <v>1.7510509E-2</v>
      </c>
    </row>
    <row r="170" spans="1:1" x14ac:dyDescent="0.25">
      <c r="A170" s="8">
        <v>1.7747958000000001E-2</v>
      </c>
    </row>
    <row r="171" spans="1:1" x14ac:dyDescent="0.25">
      <c r="A171" s="8">
        <v>1.8069091999999998E-2</v>
      </c>
    </row>
    <row r="172" spans="1:1" x14ac:dyDescent="0.25">
      <c r="A172" s="8">
        <v>1.8125170999999999E-2</v>
      </c>
    </row>
    <row r="173" spans="1:1" x14ac:dyDescent="0.25">
      <c r="A173" s="8">
        <v>1.8403557000000001E-2</v>
      </c>
    </row>
    <row r="174" spans="1:1" x14ac:dyDescent="0.25">
      <c r="A174" s="8">
        <v>1.8580093999999998E-2</v>
      </c>
    </row>
    <row r="175" spans="1:1" x14ac:dyDescent="0.25">
      <c r="A175" s="8">
        <v>1.9383076999999999E-2</v>
      </c>
    </row>
    <row r="176" spans="1:1" x14ac:dyDescent="0.25">
      <c r="A176" s="8">
        <v>1.9767000999999999E-2</v>
      </c>
    </row>
    <row r="177" spans="1:1" x14ac:dyDescent="0.25">
      <c r="A177" s="8">
        <v>1.9854956999999999E-2</v>
      </c>
    </row>
    <row r="178" spans="1:1" x14ac:dyDescent="0.25">
      <c r="A178" s="8">
        <v>1.9947665E-2</v>
      </c>
    </row>
    <row r="179" spans="1:1" x14ac:dyDescent="0.25">
      <c r="A179" s="8">
        <v>2.0042336000000001E-2</v>
      </c>
    </row>
    <row r="180" spans="1:1" x14ac:dyDescent="0.25">
      <c r="A180" s="8">
        <v>2.0557268E-2</v>
      </c>
    </row>
    <row r="181" spans="1:1" x14ac:dyDescent="0.25">
      <c r="A181" s="8">
        <v>2.0733446999999999E-2</v>
      </c>
    </row>
    <row r="182" spans="1:1" x14ac:dyDescent="0.25">
      <c r="A182" s="8">
        <v>2.1171568000000002E-2</v>
      </c>
    </row>
    <row r="183" spans="1:1" x14ac:dyDescent="0.25">
      <c r="A183" s="8">
        <v>2.1631734E-2</v>
      </c>
    </row>
    <row r="184" spans="1:1" x14ac:dyDescent="0.25">
      <c r="A184" s="8">
        <v>2.1729504E-2</v>
      </c>
    </row>
    <row r="185" spans="1:1" x14ac:dyDescent="0.25">
      <c r="A185" s="8">
        <v>2.2164985000000002E-2</v>
      </c>
    </row>
    <row r="186" spans="1:1" x14ac:dyDescent="0.25">
      <c r="A186" s="8">
        <v>2.2467226E-2</v>
      </c>
    </row>
    <row r="187" spans="1:1" x14ac:dyDescent="0.25">
      <c r="A187" s="8">
        <v>2.2596925E-2</v>
      </c>
    </row>
    <row r="188" spans="1:1" x14ac:dyDescent="0.25">
      <c r="A188" s="8">
        <v>2.2707905E-2</v>
      </c>
    </row>
    <row r="189" spans="1:1" x14ac:dyDescent="0.25">
      <c r="A189" s="8">
        <v>2.3969651000000002E-2</v>
      </c>
    </row>
    <row r="190" spans="1:1" x14ac:dyDescent="0.25">
      <c r="A190" s="8">
        <v>2.4865199000000001E-2</v>
      </c>
    </row>
    <row r="191" spans="1:1" x14ac:dyDescent="0.25">
      <c r="A191" s="8">
        <v>2.5671075000000002E-2</v>
      </c>
    </row>
    <row r="192" spans="1:1" x14ac:dyDescent="0.25">
      <c r="A192" s="8">
        <v>2.5708186000000001E-2</v>
      </c>
    </row>
    <row r="193" spans="1:1" x14ac:dyDescent="0.25">
      <c r="A193" s="8">
        <v>2.5825223000000001E-2</v>
      </c>
    </row>
    <row r="194" spans="1:1" x14ac:dyDescent="0.25">
      <c r="A194" s="8">
        <v>2.5918235000000001E-2</v>
      </c>
    </row>
    <row r="195" spans="1:1" x14ac:dyDescent="0.25">
      <c r="A195" s="8">
        <v>2.6018917999999999E-2</v>
      </c>
    </row>
    <row r="196" spans="1:1" x14ac:dyDescent="0.25">
      <c r="A196" s="8">
        <v>2.6271362999999999E-2</v>
      </c>
    </row>
    <row r="197" spans="1:1" x14ac:dyDescent="0.25">
      <c r="A197" s="8">
        <v>2.6773683E-2</v>
      </c>
    </row>
    <row r="198" spans="1:1" x14ac:dyDescent="0.25">
      <c r="A198" s="8">
        <v>2.7779117999999998E-2</v>
      </c>
    </row>
    <row r="199" spans="1:1" x14ac:dyDescent="0.25">
      <c r="A199" s="8">
        <v>2.7808889999999999E-2</v>
      </c>
    </row>
    <row r="200" spans="1:1" x14ac:dyDescent="0.25">
      <c r="A200" s="8">
        <v>2.9222799000000001E-2</v>
      </c>
    </row>
    <row r="201" spans="1:1" x14ac:dyDescent="0.25">
      <c r="A201" s="8">
        <v>3.0001252999999999E-2</v>
      </c>
    </row>
    <row r="202" spans="1:1" x14ac:dyDescent="0.25">
      <c r="A202" s="8">
        <v>3.0743459000000001E-2</v>
      </c>
    </row>
    <row r="203" spans="1:1" x14ac:dyDescent="0.25">
      <c r="A203" s="8">
        <v>3.1378014000000003E-2</v>
      </c>
    </row>
    <row r="204" spans="1:1" x14ac:dyDescent="0.25">
      <c r="A204" s="8">
        <v>3.1508264000000001E-2</v>
      </c>
    </row>
    <row r="205" spans="1:1" x14ac:dyDescent="0.25">
      <c r="A205" s="8">
        <v>3.3135795000000003E-2</v>
      </c>
    </row>
    <row r="206" spans="1:1" x14ac:dyDescent="0.25">
      <c r="A206" s="8">
        <v>3.4108758000000003E-2</v>
      </c>
    </row>
    <row r="207" spans="1:1" x14ac:dyDescent="0.25">
      <c r="A207" s="8">
        <v>3.4114129999999999E-2</v>
      </c>
    </row>
    <row r="208" spans="1:1" x14ac:dyDescent="0.25">
      <c r="A208" s="8">
        <v>3.4963912999999999E-2</v>
      </c>
    </row>
    <row r="209" spans="1:1" x14ac:dyDescent="0.25">
      <c r="A209" s="8">
        <v>3.5152968999999999E-2</v>
      </c>
    </row>
    <row r="210" spans="1:1" x14ac:dyDescent="0.25">
      <c r="A210" s="8">
        <v>3.5468864000000003E-2</v>
      </c>
    </row>
    <row r="211" spans="1:1" x14ac:dyDescent="0.25">
      <c r="A211" s="8">
        <v>4.2364994000000003E-2</v>
      </c>
    </row>
    <row r="212" spans="1:1" x14ac:dyDescent="0.25">
      <c r="A212" s="8" t="s">
        <v>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E268-2DDD-43C5-9DF2-70A24C843FB4}">
  <dimension ref="A1:M860"/>
  <sheetViews>
    <sheetView tabSelected="1" topLeftCell="A414" workbookViewId="0">
      <selection activeCell="H432" sqref="H432:I432"/>
    </sheetView>
  </sheetViews>
  <sheetFormatPr defaultRowHeight="15" x14ac:dyDescent="0.25"/>
  <cols>
    <col min="1" max="1" width="17.7109375" customWidth="1"/>
    <col min="2" max="2" width="22.85546875" style="3" customWidth="1"/>
    <col min="3" max="3" width="15.28515625" style="1" customWidth="1"/>
    <col min="4" max="4" width="23.28515625" style="3" customWidth="1"/>
    <col min="5" max="5" width="16.7109375" customWidth="1"/>
    <col min="6" max="7" width="26.140625" style="1" customWidth="1"/>
    <col min="8" max="8" width="22.42578125" style="3" customWidth="1"/>
    <col min="9" max="13" width="22" style="6" customWidth="1"/>
  </cols>
  <sheetData>
    <row r="1" spans="1:13" x14ac:dyDescent="0.25">
      <c r="A1" s="1" t="s">
        <v>210</v>
      </c>
      <c r="B1" s="2" t="s">
        <v>220</v>
      </c>
      <c r="C1" s="1" t="s">
        <v>211</v>
      </c>
      <c r="D1" s="2" t="s">
        <v>213</v>
      </c>
      <c r="E1" s="1" t="s">
        <v>212</v>
      </c>
      <c r="F1" s="1" t="s">
        <v>215</v>
      </c>
      <c r="G1" s="1" t="s">
        <v>216</v>
      </c>
      <c r="H1" s="2" t="s">
        <v>223</v>
      </c>
      <c r="I1" s="6" t="s">
        <v>214</v>
      </c>
      <c r="J1" s="6" t="s">
        <v>217</v>
      </c>
      <c r="K1" s="6" t="s">
        <v>218</v>
      </c>
      <c r="L1" s="6" t="s">
        <v>219</v>
      </c>
      <c r="M1" s="6" t="s">
        <v>221</v>
      </c>
    </row>
    <row r="2" spans="1:13" x14ac:dyDescent="0.25">
      <c r="A2" s="1" t="s">
        <v>0</v>
      </c>
      <c r="B2" s="2">
        <v>5.3629130000000004E-3</v>
      </c>
      <c r="C2" s="1">
        <v>4.3721424000000002E-2</v>
      </c>
      <c r="D2" s="2">
        <v>3.3776162999999998E-2</v>
      </c>
      <c r="E2" s="1">
        <v>9.4545590999999998E-2</v>
      </c>
      <c r="F2" s="1">
        <v>0.21898021400000001</v>
      </c>
      <c r="G2" s="1">
        <v>3.6943210999999997E-2</v>
      </c>
      <c r="H2" s="2">
        <f>SUM(E2:G2)</f>
        <v>0.35046901599999997</v>
      </c>
      <c r="I2" s="6">
        <v>1.4274287E-2</v>
      </c>
      <c r="J2" s="6">
        <v>0.15713323600000001</v>
      </c>
      <c r="K2" s="6">
        <v>1.0863477999999999E-2</v>
      </c>
      <c r="L2" s="6">
        <v>0</v>
      </c>
      <c r="M2" s="6">
        <v>0</v>
      </c>
    </row>
    <row r="3" spans="1:13" x14ac:dyDescent="0.25">
      <c r="A3" s="1" t="s">
        <v>1</v>
      </c>
      <c r="B3" s="2">
        <v>0</v>
      </c>
      <c r="C3" s="1">
        <v>2.1293599999999999E-2</v>
      </c>
      <c r="D3" s="2">
        <v>0</v>
      </c>
      <c r="E3" s="1">
        <v>2.4183547999999999E-2</v>
      </c>
      <c r="F3" s="1">
        <v>0.34154499700000002</v>
      </c>
      <c r="G3" s="1">
        <v>4.4912014E-2</v>
      </c>
      <c r="H3" s="2">
        <f t="shared" ref="H3:H66" si="0">SUM(E3:G3)</f>
        <v>0.41064055900000002</v>
      </c>
      <c r="I3" s="6">
        <v>9.6394580000000001E-3</v>
      </c>
      <c r="J3" s="6">
        <v>0.145388884</v>
      </c>
      <c r="K3" s="6">
        <v>1.5319084E-2</v>
      </c>
      <c r="L3" s="6">
        <v>5.4846030000000002E-3</v>
      </c>
      <c r="M3" s="6">
        <v>0</v>
      </c>
    </row>
    <row r="4" spans="1:13" x14ac:dyDescent="0.25">
      <c r="A4" s="1" t="s">
        <v>2</v>
      </c>
      <c r="B4" s="2">
        <v>0</v>
      </c>
      <c r="C4" s="1">
        <v>3.149126E-2</v>
      </c>
      <c r="D4" s="2">
        <v>9.2338992999999994E-2</v>
      </c>
      <c r="E4" s="1">
        <v>0.230985835</v>
      </c>
      <c r="F4" s="1">
        <v>0.138675037</v>
      </c>
      <c r="G4" s="1">
        <v>5.4209932000000002E-2</v>
      </c>
      <c r="H4" s="2">
        <f t="shared" si="0"/>
        <v>0.42387080399999999</v>
      </c>
      <c r="I4" s="6">
        <v>4.089549E-2</v>
      </c>
      <c r="J4" s="6">
        <v>5.5890777000000003E-2</v>
      </c>
      <c r="K4" s="6">
        <v>1.8223148000000002E-2</v>
      </c>
      <c r="L4" s="6">
        <v>0</v>
      </c>
      <c r="M4" s="6">
        <v>0</v>
      </c>
    </row>
    <row r="5" spans="1:13" x14ac:dyDescent="0.25">
      <c r="A5" s="1" t="s">
        <v>225</v>
      </c>
      <c r="B5" s="2">
        <v>0</v>
      </c>
      <c r="C5" s="1">
        <v>1.2679612E-2</v>
      </c>
      <c r="D5" s="2">
        <v>0.13309328500000001</v>
      </c>
      <c r="E5" s="1">
        <v>0.120535238</v>
      </c>
      <c r="F5" s="1">
        <v>8.1181716000000001E-2</v>
      </c>
      <c r="G5" s="1">
        <v>9.4238431999999997E-2</v>
      </c>
      <c r="H5" s="2">
        <f t="shared" si="0"/>
        <v>0.29595538599999999</v>
      </c>
      <c r="I5" s="6">
        <v>2.9655698000000001E-2</v>
      </c>
      <c r="J5" s="6">
        <v>8.3746976000000001E-2</v>
      </c>
      <c r="K5" s="6">
        <v>1.678772E-3</v>
      </c>
      <c r="L5" s="6">
        <v>0</v>
      </c>
      <c r="M5" s="6">
        <v>2.5879599999999998E-3</v>
      </c>
    </row>
    <row r="6" spans="1:13" x14ac:dyDescent="0.25">
      <c r="A6" s="1" t="s">
        <v>3</v>
      </c>
      <c r="B6" s="2">
        <v>0</v>
      </c>
      <c r="C6" s="1">
        <v>6.7254591000000002E-2</v>
      </c>
      <c r="D6" s="2">
        <v>5.3421751000000003E-2</v>
      </c>
      <c r="E6" s="1">
        <v>5.0377138000000002E-2</v>
      </c>
      <c r="F6" s="1">
        <v>0.22240558699999999</v>
      </c>
      <c r="G6" s="1">
        <v>6.7993429999999994E-2</v>
      </c>
      <c r="H6" s="2">
        <f t="shared" si="0"/>
        <v>0.34077615500000003</v>
      </c>
      <c r="I6" s="6">
        <v>3.9259231999999998E-2</v>
      </c>
      <c r="J6" s="6">
        <v>0.169097149</v>
      </c>
      <c r="K6" s="6">
        <v>2.0337920999999998E-2</v>
      </c>
      <c r="L6" s="6">
        <v>0</v>
      </c>
      <c r="M6" s="6">
        <v>8.7072590000000002E-3</v>
      </c>
    </row>
    <row r="7" spans="1:13" x14ac:dyDescent="0.25">
      <c r="A7" s="1" t="s">
        <v>4</v>
      </c>
      <c r="B7" s="2">
        <v>0</v>
      </c>
      <c r="C7" s="1">
        <v>5.1373809999999999E-2</v>
      </c>
      <c r="D7" s="2">
        <v>5.9470179999999997E-2</v>
      </c>
      <c r="E7" s="1">
        <v>1.7662351E-2</v>
      </c>
      <c r="F7" s="1">
        <v>0.219218158</v>
      </c>
      <c r="G7" s="1">
        <v>7.5158111E-2</v>
      </c>
      <c r="H7" s="2">
        <f t="shared" si="0"/>
        <v>0.31203861999999999</v>
      </c>
      <c r="I7" s="6">
        <v>1.0675598999999999E-2</v>
      </c>
      <c r="J7" s="6">
        <v>0.16823489799999999</v>
      </c>
      <c r="K7" s="6">
        <v>0</v>
      </c>
      <c r="L7" s="6">
        <v>0</v>
      </c>
      <c r="M7" s="6">
        <v>0</v>
      </c>
    </row>
    <row r="8" spans="1:13" x14ac:dyDescent="0.25">
      <c r="A8" s="1" t="s">
        <v>226</v>
      </c>
      <c r="B8" s="2">
        <v>4.2364994000000003E-2</v>
      </c>
      <c r="C8" s="1">
        <v>6.3628299999999999E-3</v>
      </c>
      <c r="D8" s="2">
        <v>3.9339369999999999E-2</v>
      </c>
      <c r="E8" s="1">
        <v>6.0004466999999999E-2</v>
      </c>
      <c r="F8" s="1">
        <v>0.222359169</v>
      </c>
      <c r="G8" s="1">
        <v>4.1410433000000003E-2</v>
      </c>
      <c r="H8" s="2">
        <f t="shared" si="0"/>
        <v>0.323774069</v>
      </c>
      <c r="I8" s="6">
        <v>0</v>
      </c>
      <c r="J8" s="6">
        <v>6.8032760999999997E-2</v>
      </c>
      <c r="K8" s="6">
        <v>2.9269048999999998E-2</v>
      </c>
      <c r="L8" s="6">
        <v>0</v>
      </c>
      <c r="M8" s="6">
        <v>0</v>
      </c>
    </row>
    <row r="9" spans="1:13" x14ac:dyDescent="0.25">
      <c r="A9" s="1" t="s">
        <v>5</v>
      </c>
      <c r="B9" s="2">
        <v>0</v>
      </c>
      <c r="C9" s="1">
        <v>1.6504960999999999E-2</v>
      </c>
      <c r="D9" s="2">
        <v>7.5355828999999999E-2</v>
      </c>
      <c r="E9" s="1">
        <v>0.10241003999999999</v>
      </c>
      <c r="F9" s="1">
        <v>0.16091124700000001</v>
      </c>
      <c r="G9" s="1">
        <v>3.5561769999999999E-2</v>
      </c>
      <c r="H9" s="2">
        <f t="shared" si="0"/>
        <v>0.29888305700000001</v>
      </c>
      <c r="I9" s="6">
        <v>5.3781137E-2</v>
      </c>
      <c r="J9" s="6">
        <v>4.8433825E-2</v>
      </c>
      <c r="K9" s="6">
        <v>3.7527738999999997E-2</v>
      </c>
      <c r="L9" s="6">
        <v>4.8444359999999997E-3</v>
      </c>
      <c r="M9" s="6">
        <v>1.0260277E-2</v>
      </c>
    </row>
    <row r="10" spans="1:13" x14ac:dyDescent="0.25">
      <c r="A10" s="1" t="s">
        <v>6</v>
      </c>
      <c r="B10" s="2">
        <v>0</v>
      </c>
      <c r="C10" s="1">
        <v>9.1131915999999993E-2</v>
      </c>
      <c r="D10" s="2">
        <v>3.7820085000000003E-2</v>
      </c>
      <c r="E10" s="1">
        <v>5.6745421999999997E-2</v>
      </c>
      <c r="F10" s="1">
        <v>0.16989464400000001</v>
      </c>
      <c r="G10" s="1">
        <v>5.9129118000000001E-2</v>
      </c>
      <c r="H10" s="2">
        <f t="shared" si="0"/>
        <v>0.28576918400000001</v>
      </c>
      <c r="I10" s="6">
        <v>4.5105885999999998E-2</v>
      </c>
      <c r="J10" s="6">
        <v>0.15630355000000001</v>
      </c>
      <c r="K10" s="6">
        <v>1.6588200000000001E-3</v>
      </c>
      <c r="L10" s="6">
        <v>0</v>
      </c>
      <c r="M10" s="6">
        <v>1.1552315E-2</v>
      </c>
    </row>
    <row r="11" spans="1:13" x14ac:dyDescent="0.25">
      <c r="A11" s="1" t="s">
        <v>7</v>
      </c>
      <c r="B11" s="2">
        <v>0</v>
      </c>
      <c r="C11" s="1">
        <v>6.1005073999999999E-2</v>
      </c>
      <c r="D11" s="2">
        <v>3.1175544999999999E-2</v>
      </c>
      <c r="E11" s="1">
        <v>7.8079571E-2</v>
      </c>
      <c r="F11" s="1">
        <v>0.22224682200000001</v>
      </c>
      <c r="G11" s="1">
        <v>0.10319165199999999</v>
      </c>
      <c r="H11" s="2">
        <f t="shared" si="0"/>
        <v>0.40351804499999999</v>
      </c>
      <c r="I11" s="6">
        <v>3.4000221999999997E-2</v>
      </c>
      <c r="J11" s="6">
        <v>5.8718800000000002E-2</v>
      </c>
      <c r="K11" s="6">
        <v>8.1958229999999997E-3</v>
      </c>
      <c r="L11" s="6">
        <v>2.7495439E-2</v>
      </c>
      <c r="M11" s="6">
        <v>0</v>
      </c>
    </row>
    <row r="12" spans="1:13" x14ac:dyDescent="0.25">
      <c r="A12" s="1" t="s">
        <v>227</v>
      </c>
      <c r="B12" s="2">
        <v>1.6660469999999999E-3</v>
      </c>
      <c r="C12" s="1">
        <v>4.9017391E-2</v>
      </c>
      <c r="D12" s="2">
        <v>5.6377205999999999E-2</v>
      </c>
      <c r="E12" s="1">
        <v>0.100282499</v>
      </c>
      <c r="F12" s="1">
        <v>0.162279865</v>
      </c>
      <c r="G12" s="1">
        <v>0.10015705599999999</v>
      </c>
      <c r="H12" s="2">
        <f t="shared" si="0"/>
        <v>0.36271942000000001</v>
      </c>
      <c r="I12" s="6">
        <v>4.1168112999999999E-2</v>
      </c>
      <c r="J12" s="6">
        <v>3.2569306999999999E-2</v>
      </c>
      <c r="K12" s="6">
        <v>7.5524629999999997E-3</v>
      </c>
      <c r="L12" s="6">
        <v>2.9529874000000001E-2</v>
      </c>
      <c r="M12" s="6">
        <v>3.4773339999999999E-3</v>
      </c>
    </row>
    <row r="13" spans="1:13" x14ac:dyDescent="0.25">
      <c r="A13" s="1" t="s">
        <v>228</v>
      </c>
      <c r="B13" s="2">
        <v>6.8858030000000002E-3</v>
      </c>
      <c r="C13" s="1">
        <v>4.665565E-2</v>
      </c>
      <c r="D13" s="2">
        <v>6.3046590999999999E-2</v>
      </c>
      <c r="E13" s="1">
        <v>0.13701738399999999</v>
      </c>
      <c r="F13" s="1">
        <v>0.125704448</v>
      </c>
      <c r="G13" s="1">
        <v>0.101343424</v>
      </c>
      <c r="H13" s="2">
        <f t="shared" si="0"/>
        <v>0.364065256</v>
      </c>
      <c r="I13" s="6">
        <v>1.6038932999999998E-2</v>
      </c>
      <c r="J13" s="6">
        <v>6.7867250000000004E-2</v>
      </c>
      <c r="K13" s="6">
        <v>2.5859066999999999E-2</v>
      </c>
      <c r="L13" s="6">
        <v>5.1518702999999999E-2</v>
      </c>
      <c r="M13" s="6">
        <v>0</v>
      </c>
    </row>
    <row r="14" spans="1:13" x14ac:dyDescent="0.25">
      <c r="A14" s="1" t="s">
        <v>8</v>
      </c>
      <c r="B14" s="2">
        <v>0</v>
      </c>
      <c r="C14" s="1">
        <v>6.8546670000000004E-2</v>
      </c>
      <c r="D14" s="2">
        <v>2.9028307E-2</v>
      </c>
      <c r="E14" s="1">
        <v>5.8446725999999997E-2</v>
      </c>
      <c r="F14" s="1">
        <v>0.17233558800000001</v>
      </c>
      <c r="G14" s="1">
        <v>7.2084704999999999E-2</v>
      </c>
      <c r="H14" s="2">
        <f t="shared" si="0"/>
        <v>0.30286701900000002</v>
      </c>
      <c r="I14" s="6">
        <v>3.4480884000000003E-2</v>
      </c>
      <c r="J14" s="6">
        <v>0.102889152</v>
      </c>
      <c r="K14" s="6">
        <v>2.7724594000000002E-2</v>
      </c>
      <c r="L14" s="6">
        <v>1.4895475E-2</v>
      </c>
      <c r="M14" s="6">
        <v>2.4510138000000001E-2</v>
      </c>
    </row>
    <row r="15" spans="1:13" x14ac:dyDescent="0.25">
      <c r="A15" s="1" t="s">
        <v>9</v>
      </c>
      <c r="B15" s="2">
        <v>1.5974254E-2</v>
      </c>
      <c r="C15" s="1">
        <v>2.3990299999999999E-2</v>
      </c>
      <c r="D15" s="2">
        <v>2.5433999999999998E-2</v>
      </c>
      <c r="E15" s="1">
        <v>5.9998705999999999E-2</v>
      </c>
      <c r="F15" s="1">
        <v>0.15043066299999999</v>
      </c>
      <c r="G15" s="1">
        <v>0.10004101</v>
      </c>
      <c r="H15" s="2">
        <f t="shared" si="0"/>
        <v>0.31047037899999996</v>
      </c>
      <c r="I15" s="6">
        <v>4.4049541999999997E-2</v>
      </c>
      <c r="J15" s="6">
        <v>8.9781367000000001E-2</v>
      </c>
      <c r="K15" s="6">
        <v>1.9108880000000002E-2</v>
      </c>
      <c r="L15" s="6">
        <v>1.9734817000000002E-2</v>
      </c>
      <c r="M15" s="6">
        <v>1.1180542E-2</v>
      </c>
    </row>
    <row r="16" spans="1:13" x14ac:dyDescent="0.25">
      <c r="A16" s="1" t="s">
        <v>229</v>
      </c>
      <c r="B16" s="2">
        <v>6.2019019999999996E-3</v>
      </c>
      <c r="C16" s="1">
        <v>3.3715698000000002E-2</v>
      </c>
      <c r="D16" s="2">
        <v>7.2697098000000002E-2</v>
      </c>
      <c r="E16" s="1">
        <v>6.4860945000000003E-2</v>
      </c>
      <c r="F16" s="1">
        <v>0.15682104499999999</v>
      </c>
      <c r="G16" s="1">
        <v>8.9231508000000001E-2</v>
      </c>
      <c r="H16" s="2">
        <f t="shared" si="0"/>
        <v>0.31091349800000001</v>
      </c>
      <c r="I16" s="6">
        <v>3.6974857E-2</v>
      </c>
      <c r="J16" s="6">
        <v>6.7304103000000004E-2</v>
      </c>
      <c r="K16" s="6">
        <v>3.1549120999999999E-2</v>
      </c>
      <c r="L16" s="6">
        <v>3.2505559000000003E-2</v>
      </c>
      <c r="M16" s="6">
        <v>1.1523653999999999E-2</v>
      </c>
    </row>
    <row r="17" spans="1:13" x14ac:dyDescent="0.25">
      <c r="A17" s="1" t="s">
        <v>230</v>
      </c>
      <c r="B17" s="2">
        <v>2.1631734E-2</v>
      </c>
      <c r="C17" s="1">
        <v>1.4906264000000001E-2</v>
      </c>
      <c r="D17" s="2">
        <v>6.9763024000000007E-2</v>
      </c>
      <c r="E17" s="1">
        <v>4.1980557000000002E-2</v>
      </c>
      <c r="F17" s="1">
        <v>0.14034912699999999</v>
      </c>
      <c r="G17" s="1">
        <v>0.120579148</v>
      </c>
      <c r="H17" s="2">
        <f t="shared" si="0"/>
        <v>0.30290883199999996</v>
      </c>
      <c r="I17" s="6">
        <v>3.2704522E-2</v>
      </c>
      <c r="J17" s="6">
        <v>7.8123095000000004E-2</v>
      </c>
      <c r="K17" s="6">
        <v>1.2372704E-2</v>
      </c>
      <c r="L17" s="6">
        <v>2.6002491999999999E-2</v>
      </c>
      <c r="M17" s="6">
        <v>1.7558687E-2</v>
      </c>
    </row>
    <row r="18" spans="1:13" x14ac:dyDescent="0.25">
      <c r="A18" s="1" t="s">
        <v>231</v>
      </c>
      <c r="B18" s="2">
        <v>0</v>
      </c>
      <c r="C18" s="1">
        <v>4.9482790999999998E-2</v>
      </c>
      <c r="D18" s="2">
        <v>7.3854524000000005E-2</v>
      </c>
      <c r="E18" s="1">
        <v>6.3869388999999999E-2</v>
      </c>
      <c r="F18" s="1">
        <v>0.138000293</v>
      </c>
      <c r="G18" s="1">
        <v>0.11093913900000001</v>
      </c>
      <c r="H18" s="2">
        <f t="shared" si="0"/>
        <v>0.31280882100000001</v>
      </c>
      <c r="I18" s="6">
        <v>3.2554808999999997E-2</v>
      </c>
      <c r="J18" s="6">
        <v>8.6134742E-2</v>
      </c>
      <c r="K18" s="6">
        <v>2.4317172000000001E-2</v>
      </c>
      <c r="L18" s="6">
        <v>1.3036212E-2</v>
      </c>
      <c r="M18" s="6">
        <v>1.5926115000000001E-2</v>
      </c>
    </row>
    <row r="19" spans="1:13" x14ac:dyDescent="0.25">
      <c r="A19" s="1" t="s">
        <v>232</v>
      </c>
      <c r="B19" s="2">
        <v>0</v>
      </c>
      <c r="C19" s="1">
        <v>4.6166872999999997E-2</v>
      </c>
      <c r="D19" s="2">
        <v>5.8896175000000002E-2</v>
      </c>
      <c r="E19" s="1">
        <v>7.0762199999999997E-2</v>
      </c>
      <c r="F19" s="1">
        <v>0.13094608899999999</v>
      </c>
      <c r="G19" s="1">
        <v>9.2767513999999995E-2</v>
      </c>
      <c r="H19" s="2">
        <f t="shared" si="0"/>
        <v>0.29447580299999998</v>
      </c>
      <c r="I19" s="6">
        <v>3.4200319999999999E-2</v>
      </c>
      <c r="J19" s="6">
        <v>8.5612009000000003E-2</v>
      </c>
      <c r="K19" s="6">
        <v>3.1557006999999998E-2</v>
      </c>
      <c r="L19" s="6">
        <v>2.3825872000000001E-2</v>
      </c>
      <c r="M19" s="6">
        <v>7.9913959999999996E-3</v>
      </c>
    </row>
    <row r="20" spans="1:13" x14ac:dyDescent="0.25">
      <c r="A20" s="1" t="s">
        <v>233</v>
      </c>
      <c r="B20" s="2">
        <v>2.0750360000000002E-3</v>
      </c>
      <c r="C20" s="1">
        <v>4.5688856999999999E-2</v>
      </c>
      <c r="D20" s="2">
        <v>6.4490527000000006E-2</v>
      </c>
      <c r="E20" s="1">
        <v>8.3350679999999996E-2</v>
      </c>
      <c r="F20" s="1">
        <v>0.15918537799999999</v>
      </c>
      <c r="G20" s="1">
        <v>0.105962151</v>
      </c>
      <c r="H20" s="2">
        <f t="shared" si="0"/>
        <v>0.348498209</v>
      </c>
      <c r="I20" s="6">
        <v>3.5944885000000003E-2</v>
      </c>
      <c r="J20" s="6">
        <v>6.4237013999999995E-2</v>
      </c>
      <c r="K20" s="6">
        <v>2.4835158E-2</v>
      </c>
      <c r="L20" s="6">
        <v>3.7340955000000002E-2</v>
      </c>
      <c r="M20" s="6">
        <v>7.1425639999999997E-3</v>
      </c>
    </row>
    <row r="21" spans="1:13" x14ac:dyDescent="0.25">
      <c r="A21" s="1" t="s">
        <v>10</v>
      </c>
      <c r="B21" s="2">
        <v>8.2725939999999994E-3</v>
      </c>
      <c r="C21" s="1">
        <v>6.5939520000000001E-2</v>
      </c>
      <c r="D21" s="2">
        <v>6.9306374000000004E-2</v>
      </c>
      <c r="E21" s="1">
        <v>3.4243208999999997E-2</v>
      </c>
      <c r="F21" s="1">
        <v>0.171128638</v>
      </c>
      <c r="G21" s="1">
        <v>8.3563445E-2</v>
      </c>
      <c r="H21" s="2">
        <f t="shared" si="0"/>
        <v>0.28893529200000001</v>
      </c>
      <c r="I21" s="6">
        <v>3.0429747E-2</v>
      </c>
      <c r="J21" s="6">
        <v>8.2120393999999999E-2</v>
      </c>
      <c r="K21" s="6">
        <v>2.3562669000000001E-2</v>
      </c>
      <c r="L21" s="6">
        <v>3.4155970000000001E-2</v>
      </c>
      <c r="M21" s="6">
        <v>1.2244280999999999E-2</v>
      </c>
    </row>
    <row r="22" spans="1:13" x14ac:dyDescent="0.25">
      <c r="A22" s="1" t="s">
        <v>11</v>
      </c>
      <c r="B22" s="2">
        <v>0</v>
      </c>
      <c r="C22" s="1">
        <v>4.5644208999999998E-2</v>
      </c>
      <c r="D22" s="2">
        <v>8.6020099000000003E-2</v>
      </c>
      <c r="E22" s="1">
        <v>5.4770553999999999E-2</v>
      </c>
      <c r="F22" s="1">
        <v>0.15473230900000001</v>
      </c>
      <c r="G22" s="1">
        <v>0.11349421899999999</v>
      </c>
      <c r="H22" s="2">
        <f t="shared" si="0"/>
        <v>0.32299708199999999</v>
      </c>
      <c r="I22" s="6">
        <v>4.0594141E-2</v>
      </c>
      <c r="J22" s="6">
        <v>6.3113268E-2</v>
      </c>
      <c r="K22" s="6">
        <v>2.490359E-2</v>
      </c>
      <c r="L22" s="6">
        <v>1.2374069999999999E-2</v>
      </c>
      <c r="M22" s="6">
        <v>0</v>
      </c>
    </row>
    <row r="23" spans="1:13" x14ac:dyDescent="0.25">
      <c r="A23" s="1" t="s">
        <v>12</v>
      </c>
      <c r="B23" s="2">
        <v>0</v>
      </c>
      <c r="C23" s="1">
        <v>5.3816211000000003E-2</v>
      </c>
      <c r="D23" s="2">
        <v>9.2118830000000006E-3</v>
      </c>
      <c r="E23" s="1">
        <v>7.4336784000000003E-2</v>
      </c>
      <c r="F23" s="1">
        <v>0.174302551</v>
      </c>
      <c r="G23" s="1">
        <v>8.3166780999999995E-2</v>
      </c>
      <c r="H23" s="2">
        <f t="shared" si="0"/>
        <v>0.33180611599999998</v>
      </c>
      <c r="I23" s="6">
        <v>2.0473946999999999E-2</v>
      </c>
      <c r="J23" s="6">
        <v>9.2661341999999994E-2</v>
      </c>
      <c r="K23" s="6">
        <v>3.6447854000000002E-2</v>
      </c>
      <c r="L23" s="6">
        <v>0</v>
      </c>
      <c r="M23" s="6">
        <v>3.0569024E-2</v>
      </c>
    </row>
    <row r="24" spans="1:13" x14ac:dyDescent="0.25">
      <c r="A24" s="1" t="s">
        <v>13</v>
      </c>
      <c r="B24" s="2">
        <v>0</v>
      </c>
      <c r="C24" s="1">
        <v>6.3472028E-2</v>
      </c>
      <c r="D24" s="2">
        <v>6.3897080999999994E-2</v>
      </c>
      <c r="E24" s="1">
        <v>5.3617462999999997E-2</v>
      </c>
      <c r="F24" s="1">
        <v>0.21639513099999999</v>
      </c>
      <c r="G24" s="1">
        <v>5.8770405999999997E-2</v>
      </c>
      <c r="H24" s="2">
        <f t="shared" si="0"/>
        <v>0.32878299999999999</v>
      </c>
      <c r="I24" s="6">
        <v>3.3786160000000003E-2</v>
      </c>
      <c r="J24" s="6">
        <v>3.9726247999999999E-2</v>
      </c>
      <c r="K24" s="6">
        <v>3.7365215E-2</v>
      </c>
      <c r="L24" s="6">
        <v>1.7253451E-2</v>
      </c>
      <c r="M24" s="6">
        <v>3.3555770000000002E-3</v>
      </c>
    </row>
    <row r="25" spans="1:13" x14ac:dyDescent="0.25">
      <c r="A25" s="1" t="s">
        <v>234</v>
      </c>
      <c r="B25" s="2">
        <v>2.3969651000000002E-2</v>
      </c>
      <c r="C25" s="1">
        <v>4.1286926000000002E-2</v>
      </c>
      <c r="D25" s="2">
        <v>9.2699614999999999E-2</v>
      </c>
      <c r="E25" s="1">
        <v>4.5536113000000003E-2</v>
      </c>
      <c r="F25" s="1">
        <v>0.16091598400000001</v>
      </c>
      <c r="G25" s="1">
        <v>9.1049633000000005E-2</v>
      </c>
      <c r="H25" s="2">
        <f t="shared" si="0"/>
        <v>0.29750173000000002</v>
      </c>
      <c r="I25" s="6">
        <v>3.6956621000000002E-2</v>
      </c>
      <c r="J25" s="6">
        <v>3.2739487999999997E-2</v>
      </c>
      <c r="K25" s="6">
        <v>2.3238235999999999E-2</v>
      </c>
      <c r="L25" s="6">
        <v>2.3123139000000001E-2</v>
      </c>
      <c r="M25" s="6">
        <v>4.2869020000000004E-3</v>
      </c>
    </row>
    <row r="26" spans="1:13" x14ac:dyDescent="0.25">
      <c r="A26" s="1" t="s">
        <v>14</v>
      </c>
      <c r="B26" s="2">
        <v>0</v>
      </c>
      <c r="C26" s="1">
        <v>5.4255278999999997E-2</v>
      </c>
      <c r="D26" s="2">
        <v>5.4100664E-2</v>
      </c>
      <c r="E26" s="1">
        <v>6.7812201000000003E-2</v>
      </c>
      <c r="F26" s="1">
        <v>0.15792257300000001</v>
      </c>
      <c r="G26" s="1">
        <v>9.8597175999999995E-2</v>
      </c>
      <c r="H26" s="2">
        <f t="shared" si="0"/>
        <v>0.32433195000000004</v>
      </c>
      <c r="I26" s="6">
        <v>2.9832436E-2</v>
      </c>
      <c r="J26" s="6">
        <v>8.9943844999999994E-2</v>
      </c>
      <c r="K26" s="6">
        <v>1.7270667E-2</v>
      </c>
      <c r="L26" s="6">
        <v>2.5450898999999999E-2</v>
      </c>
      <c r="M26" s="6">
        <v>1.3861528999999999E-2</v>
      </c>
    </row>
    <row r="27" spans="1:13" x14ac:dyDescent="0.25">
      <c r="A27" s="1" t="s">
        <v>235</v>
      </c>
      <c r="B27" s="2">
        <v>8.0842199999999996E-3</v>
      </c>
      <c r="C27" s="1">
        <v>5.1609140999999997E-2</v>
      </c>
      <c r="D27" s="2">
        <v>7.3314387999999994E-2</v>
      </c>
      <c r="E27" s="1">
        <v>6.0374569000000003E-2</v>
      </c>
      <c r="F27" s="1">
        <v>0.14441796200000001</v>
      </c>
      <c r="G27" s="1">
        <v>8.2716919E-2</v>
      </c>
      <c r="H27" s="2">
        <f t="shared" si="0"/>
        <v>0.28750945</v>
      </c>
      <c r="I27" s="6">
        <v>4.3636187999999999E-2</v>
      </c>
      <c r="J27" s="6">
        <v>8.9577754999999995E-2</v>
      </c>
      <c r="K27" s="6">
        <v>2.6228537999999999E-2</v>
      </c>
      <c r="L27" s="6">
        <v>2.7703719000000002E-2</v>
      </c>
      <c r="M27" s="6">
        <v>4.9945179999999999E-3</v>
      </c>
    </row>
    <row r="28" spans="1:13" x14ac:dyDescent="0.25">
      <c r="A28" s="1" t="s">
        <v>236</v>
      </c>
      <c r="B28" s="2">
        <v>3.1444699999999999E-3</v>
      </c>
      <c r="C28" s="1">
        <v>5.2671808000000001E-2</v>
      </c>
      <c r="D28" s="2">
        <v>8.1198151999999996E-2</v>
      </c>
      <c r="E28" s="1">
        <v>9.9813218999999995E-2</v>
      </c>
      <c r="F28" s="1">
        <v>0.136819842</v>
      </c>
      <c r="G28" s="1">
        <v>0.108280818</v>
      </c>
      <c r="H28" s="2">
        <f t="shared" si="0"/>
        <v>0.34491387899999998</v>
      </c>
      <c r="I28" s="6">
        <v>2.8616900000000001E-2</v>
      </c>
      <c r="J28" s="6">
        <v>6.9647009999999995E-2</v>
      </c>
      <c r="K28" s="6">
        <v>2.8278385999999999E-2</v>
      </c>
      <c r="L28" s="6">
        <v>2.4155273000000001E-2</v>
      </c>
      <c r="M28" s="6">
        <v>7.7271060000000001E-3</v>
      </c>
    </row>
    <row r="29" spans="1:13" x14ac:dyDescent="0.25">
      <c r="A29" s="1" t="s">
        <v>237</v>
      </c>
      <c r="B29" s="2">
        <v>0</v>
      </c>
      <c r="C29" s="1">
        <v>6.1726057000000001E-2</v>
      </c>
      <c r="D29" s="2">
        <v>6.9855517000000006E-2</v>
      </c>
      <c r="E29" s="1">
        <v>6.4975332999999996E-2</v>
      </c>
      <c r="F29" s="1">
        <v>0.14321683099999999</v>
      </c>
      <c r="G29" s="1">
        <v>0.12649845200000001</v>
      </c>
      <c r="H29" s="2">
        <f t="shared" si="0"/>
        <v>0.334690616</v>
      </c>
      <c r="I29" s="6">
        <v>3.6728970999999999E-2</v>
      </c>
      <c r="J29" s="6">
        <v>7.9786327000000004E-2</v>
      </c>
      <c r="K29" s="6">
        <v>2.4237323000000002E-2</v>
      </c>
      <c r="L29" s="6">
        <v>0</v>
      </c>
      <c r="M29" s="6">
        <v>1.7345528999999998E-2</v>
      </c>
    </row>
    <row r="30" spans="1:13" x14ac:dyDescent="0.25">
      <c r="A30" s="1" t="s">
        <v>238</v>
      </c>
      <c r="B30" s="2">
        <v>1.2176256999999999E-2</v>
      </c>
      <c r="C30" s="1">
        <v>3.2180761000000002E-2</v>
      </c>
      <c r="D30" s="2">
        <v>6.2542371999999999E-2</v>
      </c>
      <c r="E30" s="1">
        <v>5.9312618999999997E-2</v>
      </c>
      <c r="F30" s="1">
        <v>0.15865372799999999</v>
      </c>
      <c r="G30" s="1">
        <v>0.100273973</v>
      </c>
      <c r="H30" s="2">
        <f t="shared" si="0"/>
        <v>0.31824032000000002</v>
      </c>
      <c r="I30" s="6">
        <v>3.2049836999999998E-2</v>
      </c>
      <c r="J30" s="6">
        <v>7.2543719000000007E-2</v>
      </c>
      <c r="K30" s="6">
        <v>2.8840245E-2</v>
      </c>
      <c r="L30" s="6">
        <v>1.8343704999999998E-2</v>
      </c>
      <c r="M30" s="6">
        <v>1.1792557E-2</v>
      </c>
    </row>
    <row r="31" spans="1:13" x14ac:dyDescent="0.25">
      <c r="A31" s="1" t="s">
        <v>239</v>
      </c>
      <c r="B31" s="2">
        <v>0</v>
      </c>
      <c r="C31" s="1">
        <v>4.1533997000000003E-2</v>
      </c>
      <c r="D31" s="2">
        <v>6.4565501999999997E-2</v>
      </c>
      <c r="E31" s="1">
        <v>7.1097738999999993E-2</v>
      </c>
      <c r="F31" s="1">
        <v>0.13870420899999999</v>
      </c>
      <c r="G31" s="1">
        <v>0.105782162</v>
      </c>
      <c r="H31" s="2">
        <f t="shared" si="0"/>
        <v>0.31558410999999997</v>
      </c>
      <c r="I31" s="6">
        <v>3.2031675000000003E-2</v>
      </c>
      <c r="J31" s="6">
        <v>9.5239342000000005E-2</v>
      </c>
      <c r="K31" s="6">
        <v>1.9011502999999999E-2</v>
      </c>
      <c r="L31" s="6">
        <v>6.9124420000000004E-3</v>
      </c>
      <c r="M31" s="6">
        <v>1.8759596E-2</v>
      </c>
    </row>
    <row r="32" spans="1:13" x14ac:dyDescent="0.25">
      <c r="A32" s="1" t="s">
        <v>240</v>
      </c>
      <c r="B32" s="2">
        <v>1.8580093999999998E-2</v>
      </c>
      <c r="C32" s="1">
        <v>3.6306807000000003E-2</v>
      </c>
      <c r="D32" s="2">
        <v>7.9531471000000006E-2</v>
      </c>
      <c r="E32" s="1">
        <v>6.2428856999999997E-2</v>
      </c>
      <c r="F32" s="1">
        <v>0.13939589199999999</v>
      </c>
      <c r="G32" s="1">
        <v>0.1220101</v>
      </c>
      <c r="H32" s="2">
        <f t="shared" si="0"/>
        <v>0.32383484899999998</v>
      </c>
      <c r="I32" s="6">
        <v>4.1056772999999998E-2</v>
      </c>
      <c r="J32" s="6">
        <v>7.5479224999999997E-2</v>
      </c>
      <c r="K32" s="6">
        <v>2.5204196000000002E-2</v>
      </c>
      <c r="L32" s="6">
        <v>1.3173735000000001E-2</v>
      </c>
      <c r="M32" s="6">
        <v>1.8772036999999998E-2</v>
      </c>
    </row>
    <row r="33" spans="1:13" x14ac:dyDescent="0.25">
      <c r="A33" s="1" t="s">
        <v>241</v>
      </c>
      <c r="B33" s="2">
        <v>0</v>
      </c>
      <c r="C33" s="1">
        <v>6.0897461E-2</v>
      </c>
      <c r="D33" s="2">
        <v>5.6045104999999998E-2</v>
      </c>
      <c r="E33" s="1">
        <v>7.2050979000000001E-2</v>
      </c>
      <c r="F33" s="1">
        <v>0.16589419899999999</v>
      </c>
      <c r="G33" s="1">
        <v>9.8606701000000005E-2</v>
      </c>
      <c r="H33" s="2">
        <f t="shared" si="0"/>
        <v>0.336551879</v>
      </c>
      <c r="I33" s="6">
        <v>2.1576176999999998E-2</v>
      </c>
      <c r="J33" s="6">
        <v>0.10336960000000001</v>
      </c>
      <c r="K33" s="6">
        <v>3.0218776999999999E-2</v>
      </c>
      <c r="L33" s="6">
        <v>4.5492550000000003E-3</v>
      </c>
      <c r="M33" s="6">
        <v>1.1837446999999999E-2</v>
      </c>
    </row>
    <row r="34" spans="1:13" x14ac:dyDescent="0.25">
      <c r="A34" s="1" t="s">
        <v>15</v>
      </c>
      <c r="B34" s="2">
        <v>1.2684747999999999E-2</v>
      </c>
      <c r="C34" s="1">
        <v>5.7471082E-2</v>
      </c>
      <c r="D34" s="2">
        <v>6.6529103000000006E-2</v>
      </c>
      <c r="E34" s="1">
        <v>6.5129474000000007E-2</v>
      </c>
      <c r="F34" s="1">
        <v>0.143801387</v>
      </c>
      <c r="G34" s="1">
        <v>0.10484795600000001</v>
      </c>
      <c r="H34" s="2">
        <f t="shared" si="0"/>
        <v>0.31377881700000004</v>
      </c>
      <c r="I34" s="6">
        <v>3.7005892999999998E-2</v>
      </c>
      <c r="J34" s="6">
        <v>0.10484072799999999</v>
      </c>
      <c r="K34" s="6">
        <v>3.1528242999999997E-2</v>
      </c>
      <c r="L34" s="6">
        <v>8.2741459999999996E-3</v>
      </c>
      <c r="M34" s="6">
        <v>3.5947129999999998E-3</v>
      </c>
    </row>
    <row r="35" spans="1:13" x14ac:dyDescent="0.25">
      <c r="A35" s="1" t="s">
        <v>242</v>
      </c>
      <c r="B35" s="2">
        <v>0</v>
      </c>
      <c r="C35" s="1">
        <v>6.1856254999999999E-2</v>
      </c>
      <c r="D35" s="2">
        <v>6.3111113999999996E-2</v>
      </c>
      <c r="E35" s="1">
        <v>0.109308903</v>
      </c>
      <c r="F35" s="1">
        <v>0.16019956199999999</v>
      </c>
      <c r="G35" s="1">
        <v>0.11037364099999999</v>
      </c>
      <c r="H35" s="2">
        <f t="shared" si="0"/>
        <v>0.37988210599999994</v>
      </c>
      <c r="I35" s="6">
        <v>3.1850477000000002E-2</v>
      </c>
      <c r="J35" s="6">
        <v>5.6762777E-2</v>
      </c>
      <c r="K35" s="6">
        <v>3.8423269000000003E-2</v>
      </c>
      <c r="L35" s="6">
        <v>1.0444222E-2</v>
      </c>
      <c r="M35" s="6">
        <v>0</v>
      </c>
    </row>
    <row r="36" spans="1:13" x14ac:dyDescent="0.25">
      <c r="A36" s="1" t="s">
        <v>16</v>
      </c>
      <c r="B36" s="2">
        <v>0</v>
      </c>
      <c r="C36" s="1">
        <v>7.2225354000000005E-2</v>
      </c>
      <c r="D36" s="2">
        <v>3.2328482999999998E-2</v>
      </c>
      <c r="E36" s="1">
        <v>8.2256590000000004E-2</v>
      </c>
      <c r="F36" s="1">
        <v>0.218528484</v>
      </c>
      <c r="G36" s="1">
        <v>0.10658704200000001</v>
      </c>
      <c r="H36" s="2">
        <f t="shared" si="0"/>
        <v>0.40737211600000001</v>
      </c>
      <c r="I36" s="6">
        <v>3.6080175999999999E-2</v>
      </c>
      <c r="J36" s="6">
        <v>0.10818810800000001</v>
      </c>
      <c r="K36" s="6">
        <v>1.8243971000000001E-2</v>
      </c>
      <c r="L36" s="6">
        <v>0</v>
      </c>
      <c r="M36" s="6">
        <v>6.9779910000000002E-3</v>
      </c>
    </row>
    <row r="37" spans="1:13" x14ac:dyDescent="0.25">
      <c r="A37" s="1" t="s">
        <v>243</v>
      </c>
      <c r="B37" s="2">
        <v>3.4963912999999999E-2</v>
      </c>
      <c r="C37" s="1">
        <v>8.2772780000000008E-3</v>
      </c>
      <c r="D37" s="2">
        <v>0.13412900899999999</v>
      </c>
      <c r="E37" s="1">
        <v>5.8561344000000001E-2</v>
      </c>
      <c r="F37" s="1">
        <v>0.17080216500000001</v>
      </c>
      <c r="G37" s="1">
        <v>0.11506009</v>
      </c>
      <c r="H37" s="2">
        <f t="shared" si="0"/>
        <v>0.34442359900000002</v>
      </c>
      <c r="I37" s="6">
        <v>3.7223698E-2</v>
      </c>
      <c r="J37" s="6">
        <v>6.8553490999999994E-2</v>
      </c>
      <c r="K37" s="6">
        <v>1.6613776E-2</v>
      </c>
      <c r="L37" s="6">
        <v>9.9243630000000003E-3</v>
      </c>
      <c r="M37" s="6">
        <v>5.4431189999999997E-3</v>
      </c>
    </row>
    <row r="38" spans="1:13" x14ac:dyDescent="0.25">
      <c r="A38" s="1" t="s">
        <v>17</v>
      </c>
      <c r="B38" s="2">
        <v>0</v>
      </c>
      <c r="C38" s="1">
        <v>4.7384898000000002E-2</v>
      </c>
      <c r="D38" s="2">
        <v>5.0869510999999999E-2</v>
      </c>
      <c r="E38" s="1">
        <v>3.8355867000000002E-2</v>
      </c>
      <c r="F38" s="1">
        <v>0.15454126400000001</v>
      </c>
      <c r="G38" s="1">
        <v>0.103958753</v>
      </c>
      <c r="H38" s="2">
        <f t="shared" si="0"/>
        <v>0.29685588400000001</v>
      </c>
      <c r="I38" s="6">
        <v>3.8460036000000003E-2</v>
      </c>
      <c r="J38" s="6">
        <v>9.8266320000000004E-2</v>
      </c>
      <c r="K38" s="6">
        <v>3.1518282000000002E-2</v>
      </c>
      <c r="L38" s="6">
        <v>2.3411878000000001E-2</v>
      </c>
      <c r="M38" s="6">
        <v>1.3193229000000001E-2</v>
      </c>
    </row>
    <row r="39" spans="1:13" x14ac:dyDescent="0.25">
      <c r="A39" s="1" t="s">
        <v>18</v>
      </c>
      <c r="B39" s="2">
        <v>0</v>
      </c>
      <c r="C39" s="1">
        <v>4.0265702E-2</v>
      </c>
      <c r="D39" s="2">
        <v>5.4436531000000003E-2</v>
      </c>
      <c r="E39" s="1">
        <v>0.106036645</v>
      </c>
      <c r="F39" s="1">
        <v>0.16698613800000001</v>
      </c>
      <c r="G39" s="1">
        <v>0.103366526</v>
      </c>
      <c r="H39" s="2">
        <f t="shared" si="0"/>
        <v>0.37638930900000001</v>
      </c>
      <c r="I39" s="6">
        <v>4.3136331E-2</v>
      </c>
      <c r="J39" s="6">
        <v>3.1475954E-2</v>
      </c>
      <c r="K39" s="6">
        <v>3.0043025000000001E-2</v>
      </c>
      <c r="L39" s="6">
        <v>1.8259879E-2</v>
      </c>
      <c r="M39" s="6">
        <v>3.1421011999999998E-2</v>
      </c>
    </row>
    <row r="40" spans="1:13" x14ac:dyDescent="0.25">
      <c r="A40" s="1" t="s">
        <v>244</v>
      </c>
      <c r="B40" s="2">
        <v>1.5551947999999999E-2</v>
      </c>
      <c r="C40" s="1">
        <v>2.3675089E-2</v>
      </c>
      <c r="D40" s="2">
        <v>7.0025619999999997E-2</v>
      </c>
      <c r="E40" s="1">
        <v>6.2210588999999997E-2</v>
      </c>
      <c r="F40" s="1">
        <v>0.118187587</v>
      </c>
      <c r="G40" s="1">
        <v>0.100402753</v>
      </c>
      <c r="H40" s="2">
        <f t="shared" si="0"/>
        <v>0.28080092899999998</v>
      </c>
      <c r="I40" s="6">
        <v>3.8202554E-2</v>
      </c>
      <c r="J40" s="6">
        <v>7.2463279000000005E-2</v>
      </c>
      <c r="K40" s="6">
        <v>2.7466330000000001E-2</v>
      </c>
      <c r="L40" s="6">
        <v>4.4582825999999999E-2</v>
      </c>
      <c r="M40" s="6">
        <v>1.7930103999999999E-2</v>
      </c>
    </row>
    <row r="41" spans="1:13" x14ac:dyDescent="0.25">
      <c r="A41" s="1" t="s">
        <v>245</v>
      </c>
      <c r="B41" s="2">
        <v>1.4085723E-2</v>
      </c>
      <c r="C41" s="1">
        <v>4.1525595999999998E-2</v>
      </c>
      <c r="D41" s="2">
        <v>0.10090890800000001</v>
      </c>
      <c r="E41" s="1">
        <v>1.7715615000000001E-2</v>
      </c>
      <c r="F41" s="1">
        <v>0.134967325</v>
      </c>
      <c r="G41" s="1">
        <v>0.11299904299999999</v>
      </c>
      <c r="H41" s="2">
        <f t="shared" si="0"/>
        <v>0.26568198300000001</v>
      </c>
      <c r="I41" s="6">
        <v>4.8117367000000001E-2</v>
      </c>
      <c r="J41" s="6">
        <v>6.4511284000000002E-2</v>
      </c>
      <c r="K41" s="6">
        <v>1.5412643E-2</v>
      </c>
      <c r="L41" s="6">
        <v>7.3527890000000002E-3</v>
      </c>
      <c r="M41" s="6">
        <v>1.5374084E-2</v>
      </c>
    </row>
    <row r="42" spans="1:13" x14ac:dyDescent="0.25">
      <c r="A42" s="1" t="s">
        <v>246</v>
      </c>
      <c r="B42" s="2">
        <v>0</v>
      </c>
      <c r="C42" s="1">
        <v>5.2953017999999998E-2</v>
      </c>
      <c r="D42" s="2">
        <v>6.5713470999999996E-2</v>
      </c>
      <c r="E42" s="1">
        <v>5.9900005999999999E-2</v>
      </c>
      <c r="F42" s="1">
        <v>0.145213546</v>
      </c>
      <c r="G42" s="1">
        <v>9.6478693000000004E-2</v>
      </c>
      <c r="H42" s="2">
        <f t="shared" si="0"/>
        <v>0.30159224500000004</v>
      </c>
      <c r="I42" s="6">
        <v>3.7212646000000002E-2</v>
      </c>
      <c r="J42" s="6">
        <v>9.6522061000000006E-2</v>
      </c>
      <c r="K42" s="6">
        <v>3.2066048E-2</v>
      </c>
      <c r="L42" s="6">
        <v>3.4555480999999999E-2</v>
      </c>
      <c r="M42" s="6">
        <v>4.2700760000000003E-3</v>
      </c>
    </row>
    <row r="43" spans="1:13" x14ac:dyDescent="0.25">
      <c r="A43" s="1" t="s">
        <v>247</v>
      </c>
      <c r="B43" s="2">
        <v>1.6446347E-2</v>
      </c>
      <c r="C43" s="1">
        <v>2.7649417999999999E-2</v>
      </c>
      <c r="D43" s="2">
        <v>9.0700152000000006E-2</v>
      </c>
      <c r="E43" s="1">
        <v>6.0988914999999998E-2</v>
      </c>
      <c r="F43" s="1">
        <v>9.6911011000000005E-2</v>
      </c>
      <c r="G43" s="1">
        <v>0.11041034800000001</v>
      </c>
      <c r="H43" s="2">
        <f t="shared" si="0"/>
        <v>0.26831027400000002</v>
      </c>
      <c r="I43" s="6">
        <v>4.2034214E-2</v>
      </c>
      <c r="J43" s="6">
        <v>7.0018208999999998E-2</v>
      </c>
      <c r="K43" s="6">
        <v>1.8869581E-2</v>
      </c>
      <c r="L43" s="6">
        <v>1.1079718000000001E-2</v>
      </c>
      <c r="M43" s="6">
        <v>1.5610905E-2</v>
      </c>
    </row>
    <row r="44" spans="1:13" x14ac:dyDescent="0.25">
      <c r="A44" s="1" t="s">
        <v>19</v>
      </c>
      <c r="B44" s="2">
        <v>0</v>
      </c>
      <c r="C44" s="1">
        <v>4.6539992000000002E-2</v>
      </c>
      <c r="D44" s="2">
        <v>3.3996828E-2</v>
      </c>
      <c r="E44" s="1">
        <v>5.9975245000000003E-2</v>
      </c>
      <c r="F44" s="1">
        <v>0.16839782</v>
      </c>
      <c r="G44" s="1">
        <v>7.3984387999999998E-2</v>
      </c>
      <c r="H44" s="2">
        <f t="shared" si="0"/>
        <v>0.302357453</v>
      </c>
      <c r="I44" s="6">
        <v>4.6784705000000003E-2</v>
      </c>
      <c r="J44" s="6">
        <v>8.5921266999999996E-2</v>
      </c>
      <c r="K44" s="6">
        <v>2.4995094999999998E-2</v>
      </c>
      <c r="L44" s="6">
        <v>2.1527937E-2</v>
      </c>
      <c r="M44" s="6">
        <v>8.7512600000000003E-3</v>
      </c>
    </row>
    <row r="45" spans="1:13" x14ac:dyDescent="0.25">
      <c r="A45" s="1" t="s">
        <v>20</v>
      </c>
      <c r="B45" s="2">
        <v>0</v>
      </c>
      <c r="C45" s="1">
        <v>5.7530247999999999E-2</v>
      </c>
      <c r="D45" s="2">
        <v>5.5048047000000003E-2</v>
      </c>
      <c r="E45" s="1">
        <v>5.8048522999999998E-2</v>
      </c>
      <c r="F45" s="1">
        <v>0.21757797700000001</v>
      </c>
      <c r="G45" s="1">
        <v>8.0268931000000002E-2</v>
      </c>
      <c r="H45" s="2">
        <f t="shared" si="0"/>
        <v>0.35589543099999998</v>
      </c>
      <c r="I45" s="6">
        <v>2.8505566999999999E-2</v>
      </c>
      <c r="J45" s="6">
        <v>1.9916634999999999E-2</v>
      </c>
      <c r="K45" s="6">
        <v>5.3836331000000001E-2</v>
      </c>
      <c r="L45" s="6">
        <v>7.3253770000000001E-3</v>
      </c>
      <c r="M45" s="6">
        <v>3.4216030000000001E-3</v>
      </c>
    </row>
    <row r="46" spans="1:13" x14ac:dyDescent="0.25">
      <c r="A46" s="1" t="s">
        <v>21</v>
      </c>
      <c r="B46" s="2">
        <v>2.7779117999999998E-2</v>
      </c>
      <c r="C46" s="1">
        <v>2.7891314E-2</v>
      </c>
      <c r="D46" s="2">
        <v>9.1234854000000004E-2</v>
      </c>
      <c r="E46" s="1">
        <v>2.7010613999999999E-2</v>
      </c>
      <c r="F46" s="1">
        <v>0.14614465700000001</v>
      </c>
      <c r="G46" s="1">
        <v>0.10437516400000001</v>
      </c>
      <c r="H46" s="2">
        <f t="shared" si="0"/>
        <v>0.27753043500000002</v>
      </c>
      <c r="I46" s="6">
        <v>4.6645436999999998E-2</v>
      </c>
      <c r="J46" s="6">
        <v>5.2637984999999998E-2</v>
      </c>
      <c r="K46" s="6">
        <v>3.9630057000000003E-2</v>
      </c>
      <c r="L46" s="6">
        <v>3.9725328999999997E-2</v>
      </c>
      <c r="M46" s="6">
        <v>2.2944943999999998E-2</v>
      </c>
    </row>
    <row r="47" spans="1:13" x14ac:dyDescent="0.25">
      <c r="A47" s="1" t="s">
        <v>22</v>
      </c>
      <c r="B47" s="2">
        <v>0</v>
      </c>
      <c r="C47" s="1">
        <v>5.0221061999999997E-2</v>
      </c>
      <c r="D47" s="2">
        <v>5.1785266000000003E-2</v>
      </c>
      <c r="E47" s="1">
        <v>7.4720313999999996E-2</v>
      </c>
      <c r="F47" s="1">
        <v>0.20829757099999999</v>
      </c>
      <c r="G47" s="1">
        <v>9.8058531000000004E-2</v>
      </c>
      <c r="H47" s="2">
        <f t="shared" si="0"/>
        <v>0.38107641599999997</v>
      </c>
      <c r="I47" s="6">
        <v>3.9612848999999999E-2</v>
      </c>
      <c r="J47" s="6">
        <v>7.0734514999999998E-2</v>
      </c>
      <c r="K47" s="6">
        <v>1.5653336E-2</v>
      </c>
      <c r="L47" s="6">
        <v>2.0639129999999999E-2</v>
      </c>
      <c r="M47" s="6">
        <v>7.2378210000000002E-3</v>
      </c>
    </row>
    <row r="48" spans="1:13" x14ac:dyDescent="0.25">
      <c r="A48" s="1" t="s">
        <v>248</v>
      </c>
      <c r="B48" s="2">
        <v>2.0557268E-2</v>
      </c>
      <c r="C48" s="1">
        <v>5.0817901999999998E-2</v>
      </c>
      <c r="D48" s="2">
        <v>7.4290812999999997E-2</v>
      </c>
      <c r="E48" s="1">
        <v>5.1381199000000002E-2</v>
      </c>
      <c r="F48" s="1">
        <v>0.15404563199999999</v>
      </c>
      <c r="G48" s="1">
        <v>0.119551872</v>
      </c>
      <c r="H48" s="2">
        <f t="shared" si="0"/>
        <v>0.32497870299999998</v>
      </c>
      <c r="I48" s="6">
        <v>4.8415498000000001E-2</v>
      </c>
      <c r="J48" s="6">
        <v>6.2561940999999996E-2</v>
      </c>
      <c r="K48" s="6">
        <v>3.3064501000000003E-2</v>
      </c>
      <c r="L48" s="6">
        <v>3.3805880000000003E-2</v>
      </c>
      <c r="M48" s="6">
        <v>2.5237490000000001E-2</v>
      </c>
    </row>
    <row r="49" spans="1:13" x14ac:dyDescent="0.25">
      <c r="A49" s="1" t="s">
        <v>23</v>
      </c>
      <c r="B49" s="2">
        <v>0</v>
      </c>
      <c r="C49" s="1">
        <v>4.5034475999999997E-2</v>
      </c>
      <c r="D49" s="2">
        <v>4.5019811999999999E-2</v>
      </c>
      <c r="E49" s="1">
        <v>7.8560226999999996E-2</v>
      </c>
      <c r="F49" s="1">
        <v>0.171307547</v>
      </c>
      <c r="G49" s="1">
        <v>7.5402052999999997E-2</v>
      </c>
      <c r="H49" s="2">
        <f t="shared" si="0"/>
        <v>0.32526982699999996</v>
      </c>
      <c r="I49" s="6">
        <v>3.4755775000000003E-2</v>
      </c>
      <c r="J49" s="6">
        <v>8.8637014E-2</v>
      </c>
      <c r="K49" s="6">
        <v>2.5787403E-2</v>
      </c>
      <c r="L49" s="6">
        <v>2.5118524999999999E-2</v>
      </c>
      <c r="M49" s="6">
        <v>1.5178595E-2</v>
      </c>
    </row>
    <row r="50" spans="1:13" x14ac:dyDescent="0.25">
      <c r="A50" s="1" t="s">
        <v>24</v>
      </c>
      <c r="B50" s="2">
        <v>1.6002776999999999E-2</v>
      </c>
      <c r="C50" s="1">
        <v>3.8867619999999999E-2</v>
      </c>
      <c r="D50" s="2">
        <v>9.0268982999999997E-2</v>
      </c>
      <c r="E50" s="1">
        <v>5.6355244999999998E-2</v>
      </c>
      <c r="F50" s="1">
        <v>0.169110657</v>
      </c>
      <c r="G50" s="1">
        <v>0.10176424100000001</v>
      </c>
      <c r="H50" s="2">
        <f t="shared" si="0"/>
        <v>0.32723014299999997</v>
      </c>
      <c r="I50" s="6">
        <v>3.8599969999999997E-2</v>
      </c>
      <c r="J50" s="6">
        <v>9.5698252999999997E-2</v>
      </c>
      <c r="K50" s="6">
        <v>7.6951650000000003E-3</v>
      </c>
      <c r="L50" s="6">
        <v>2.1684246000000001E-2</v>
      </c>
      <c r="M50" s="6">
        <v>6.0266479999999999E-3</v>
      </c>
    </row>
    <row r="51" spans="1:13" x14ac:dyDescent="0.25">
      <c r="A51" s="1" t="s">
        <v>249</v>
      </c>
      <c r="B51" s="2">
        <v>7.26263E-4</v>
      </c>
      <c r="C51" s="1">
        <v>3.6840158999999997E-2</v>
      </c>
      <c r="D51" s="2">
        <v>5.9222551999999998E-2</v>
      </c>
      <c r="E51" s="1">
        <v>0.12567118499999999</v>
      </c>
      <c r="F51" s="1">
        <v>0.16531190300000001</v>
      </c>
      <c r="G51" s="1">
        <v>0.119436523</v>
      </c>
      <c r="H51" s="2">
        <f t="shared" si="0"/>
        <v>0.41041961100000002</v>
      </c>
      <c r="I51" s="6">
        <v>3.0819518000000001E-2</v>
      </c>
      <c r="J51" s="6">
        <v>8.0282021999999995E-2</v>
      </c>
      <c r="K51" s="6">
        <v>9.4398169999999997E-3</v>
      </c>
      <c r="L51" s="6">
        <v>7.2618930000000002E-3</v>
      </c>
      <c r="M51" s="6">
        <v>1.3389483000000001E-2</v>
      </c>
    </row>
    <row r="52" spans="1:13" x14ac:dyDescent="0.25">
      <c r="A52" s="1" t="s">
        <v>250</v>
      </c>
      <c r="B52" s="2">
        <v>2.2467226E-2</v>
      </c>
      <c r="C52" s="1">
        <v>2.0007692000000001E-2</v>
      </c>
      <c r="D52" s="2">
        <v>0.10491798300000001</v>
      </c>
      <c r="E52" s="1">
        <v>5.5257253999999999E-2</v>
      </c>
      <c r="F52" s="1">
        <v>0.132001445</v>
      </c>
      <c r="G52" s="1">
        <v>0.111259816</v>
      </c>
      <c r="H52" s="2">
        <f t="shared" si="0"/>
        <v>0.29851851499999998</v>
      </c>
      <c r="I52" s="6">
        <v>3.0406677999999999E-2</v>
      </c>
      <c r="J52" s="6">
        <v>8.7492143999999994E-2</v>
      </c>
      <c r="K52" s="6">
        <v>3.0489456000000002E-2</v>
      </c>
      <c r="L52" s="6">
        <v>1.4374257E-2</v>
      </c>
      <c r="M52" s="6">
        <v>6.7936239999999998E-3</v>
      </c>
    </row>
    <row r="53" spans="1:13" x14ac:dyDescent="0.25">
      <c r="A53" s="1" t="s">
        <v>251</v>
      </c>
      <c r="B53" s="2">
        <v>0</v>
      </c>
      <c r="C53" s="1">
        <v>3.2469663000000003E-2</v>
      </c>
      <c r="D53" s="2">
        <v>5.2590918E-2</v>
      </c>
      <c r="E53" s="1">
        <v>7.4261297000000004E-2</v>
      </c>
      <c r="F53" s="1">
        <v>0.15211301699999999</v>
      </c>
      <c r="G53" s="1">
        <v>9.9485086E-2</v>
      </c>
      <c r="H53" s="2">
        <f t="shared" si="0"/>
        <v>0.32585940000000002</v>
      </c>
      <c r="I53" s="6">
        <v>3.4062463000000001E-2</v>
      </c>
      <c r="J53" s="6">
        <v>8.5669180999999997E-2</v>
      </c>
      <c r="K53" s="6">
        <v>2.0502030000000001E-2</v>
      </c>
      <c r="L53" s="6">
        <v>1.9709332999999999E-2</v>
      </c>
      <c r="M53" s="6">
        <v>1.9189791000000001E-2</v>
      </c>
    </row>
    <row r="54" spans="1:13" x14ac:dyDescent="0.25">
      <c r="A54" s="1" t="s">
        <v>25</v>
      </c>
      <c r="B54" s="2">
        <v>0</v>
      </c>
      <c r="C54" s="1">
        <v>7.6022000000000006E-2</v>
      </c>
      <c r="D54" s="2">
        <v>4.6980458000000003E-2</v>
      </c>
      <c r="E54" s="1">
        <v>7.2089997000000003E-2</v>
      </c>
      <c r="F54" s="1">
        <v>0.221175767</v>
      </c>
      <c r="G54" s="1">
        <v>9.4983739999999997E-2</v>
      </c>
      <c r="H54" s="2">
        <f t="shared" si="0"/>
        <v>0.38824950399999997</v>
      </c>
      <c r="I54" s="6">
        <v>5.2997562999999998E-2</v>
      </c>
      <c r="J54" s="6">
        <v>6.3760673000000004E-2</v>
      </c>
      <c r="K54" s="6">
        <v>3.0328838E-2</v>
      </c>
      <c r="L54" s="6">
        <v>1.7573110999999999E-2</v>
      </c>
      <c r="M54" s="6">
        <v>5.4496989999999997E-3</v>
      </c>
    </row>
    <row r="55" spans="1:13" x14ac:dyDescent="0.25">
      <c r="A55" s="1" t="s">
        <v>26</v>
      </c>
      <c r="B55" s="2">
        <v>4.847138E-3</v>
      </c>
      <c r="C55" s="1">
        <v>5.4014237999999999E-2</v>
      </c>
      <c r="D55" s="2">
        <v>2.122839E-2</v>
      </c>
      <c r="E55" s="1">
        <v>4.7591757999999998E-2</v>
      </c>
      <c r="F55" s="1">
        <v>0.166266371</v>
      </c>
      <c r="G55" s="1">
        <v>9.7833797E-2</v>
      </c>
      <c r="H55" s="2">
        <f t="shared" si="0"/>
        <v>0.31169192600000001</v>
      </c>
      <c r="I55" s="6">
        <v>3.0894324000000001E-2</v>
      </c>
      <c r="J55" s="6">
        <v>6.0893777000000003E-2</v>
      </c>
      <c r="K55" s="6">
        <v>3.2231217E-2</v>
      </c>
      <c r="L55" s="6">
        <v>2.0598379E-2</v>
      </c>
      <c r="M55" s="6">
        <v>2.3314647000000001E-2</v>
      </c>
    </row>
    <row r="56" spans="1:13" x14ac:dyDescent="0.25">
      <c r="A56" s="1" t="s">
        <v>27</v>
      </c>
      <c r="B56" s="2">
        <v>4.02922E-3</v>
      </c>
      <c r="C56" s="1">
        <v>3.5587381000000001E-2</v>
      </c>
      <c r="D56" s="2">
        <v>6.3744952999999993E-2</v>
      </c>
      <c r="E56" s="1">
        <v>0.104105007</v>
      </c>
      <c r="F56" s="1">
        <v>0.14799032600000001</v>
      </c>
      <c r="G56" s="1">
        <v>9.4964440999999997E-2</v>
      </c>
      <c r="H56" s="2">
        <f t="shared" si="0"/>
        <v>0.34705977399999999</v>
      </c>
      <c r="I56" s="6">
        <v>3.5828809000000003E-2</v>
      </c>
      <c r="J56" s="6">
        <v>4.5703294999999998E-2</v>
      </c>
      <c r="K56" s="6">
        <v>2.2955067999999999E-2</v>
      </c>
      <c r="L56" s="6">
        <v>1.3073312E-2</v>
      </c>
      <c r="M56" s="6">
        <v>1.4181193E-2</v>
      </c>
    </row>
    <row r="57" spans="1:13" x14ac:dyDescent="0.25">
      <c r="A57" s="1" t="s">
        <v>28</v>
      </c>
      <c r="B57" s="2">
        <v>1.0754021000000001E-2</v>
      </c>
      <c r="C57" s="1">
        <v>3.1583864000000003E-2</v>
      </c>
      <c r="D57" s="2">
        <v>6.3077547999999997E-2</v>
      </c>
      <c r="E57" s="1">
        <v>7.1203164999999999E-2</v>
      </c>
      <c r="F57" s="1">
        <v>0.198795741</v>
      </c>
      <c r="G57" s="1">
        <v>6.5986481E-2</v>
      </c>
      <c r="H57" s="2">
        <f t="shared" si="0"/>
        <v>0.33598538699999997</v>
      </c>
      <c r="I57" s="6">
        <v>2.8522345000000001E-2</v>
      </c>
      <c r="J57" s="6">
        <v>7.1681024999999995E-2</v>
      </c>
      <c r="K57" s="6">
        <v>1.5262183E-2</v>
      </c>
      <c r="L57" s="6">
        <v>1.3800217E-2</v>
      </c>
      <c r="M57" s="6">
        <v>7.4855099999999999E-3</v>
      </c>
    </row>
    <row r="58" spans="1:13" x14ac:dyDescent="0.25">
      <c r="A58" s="1" t="s">
        <v>252</v>
      </c>
      <c r="B58" s="2">
        <v>1.3582006000000001E-2</v>
      </c>
      <c r="C58" s="1">
        <v>3.0243711E-2</v>
      </c>
      <c r="D58" s="2">
        <v>7.8630487999999998E-2</v>
      </c>
      <c r="E58" s="1">
        <v>8.0551574000000001E-2</v>
      </c>
      <c r="F58" s="1">
        <v>0.131203336</v>
      </c>
      <c r="G58" s="1">
        <v>9.9070541999999998E-2</v>
      </c>
      <c r="H58" s="2">
        <f t="shared" si="0"/>
        <v>0.310825452</v>
      </c>
      <c r="I58" s="6">
        <v>3.5439472E-2</v>
      </c>
      <c r="J58" s="6">
        <v>5.3188733000000002E-2</v>
      </c>
      <c r="K58" s="6">
        <v>2.7888666999999999E-2</v>
      </c>
      <c r="L58" s="6">
        <v>5.2935854999999997E-2</v>
      </c>
      <c r="M58" s="6">
        <v>1.4847038E-2</v>
      </c>
    </row>
    <row r="59" spans="1:13" x14ac:dyDescent="0.25">
      <c r="A59" s="1" t="s">
        <v>29</v>
      </c>
      <c r="B59" s="2">
        <v>0</v>
      </c>
      <c r="C59" s="1">
        <v>6.5248750999999994E-2</v>
      </c>
      <c r="D59" s="2">
        <v>5.6850637000000002E-2</v>
      </c>
      <c r="E59" s="1">
        <v>9.8132810000000001E-2</v>
      </c>
      <c r="F59" s="1">
        <v>0.17020076200000001</v>
      </c>
      <c r="G59" s="1">
        <v>0.100263272</v>
      </c>
      <c r="H59" s="2">
        <f t="shared" si="0"/>
        <v>0.36859684400000003</v>
      </c>
      <c r="I59" s="6">
        <v>3.1298279999999998E-2</v>
      </c>
      <c r="J59" s="6">
        <v>7.6586882999999994E-2</v>
      </c>
      <c r="K59" s="6">
        <v>1.9517597000000001E-2</v>
      </c>
      <c r="L59" s="6">
        <v>3.8721762E-2</v>
      </c>
      <c r="M59" s="6">
        <v>1.6919877999999999E-2</v>
      </c>
    </row>
    <row r="60" spans="1:13" x14ac:dyDescent="0.25">
      <c r="A60" s="1" t="s">
        <v>30</v>
      </c>
      <c r="B60" s="2">
        <v>0</v>
      </c>
      <c r="C60" s="1">
        <v>6.3880999999999993E-2</v>
      </c>
      <c r="D60" s="2">
        <v>5.7239337000000001E-2</v>
      </c>
      <c r="E60" s="1">
        <v>5.4758262000000002E-2</v>
      </c>
      <c r="F60" s="1">
        <v>0.154996564</v>
      </c>
      <c r="G60" s="1">
        <v>8.9413635000000005E-2</v>
      </c>
      <c r="H60" s="2">
        <f t="shared" si="0"/>
        <v>0.299168461</v>
      </c>
      <c r="I60" s="6">
        <v>3.3838679000000003E-2</v>
      </c>
      <c r="J60" s="6">
        <v>8.6359183000000006E-2</v>
      </c>
      <c r="K60" s="6">
        <v>3.1943920000000001E-2</v>
      </c>
      <c r="L60" s="6">
        <v>3.8172060000000001E-2</v>
      </c>
      <c r="M60" s="6">
        <v>8.0632810000000003E-3</v>
      </c>
    </row>
    <row r="61" spans="1:13" x14ac:dyDescent="0.25">
      <c r="A61" s="1" t="s">
        <v>31</v>
      </c>
      <c r="B61" s="2">
        <v>7.8388659999999999E-3</v>
      </c>
      <c r="C61" s="1">
        <v>4.5402737999999998E-2</v>
      </c>
      <c r="D61" s="2">
        <v>5.5026631999999999E-2</v>
      </c>
      <c r="E61" s="1">
        <v>6.2646393999999994E-2</v>
      </c>
      <c r="F61" s="1">
        <v>0.18538486200000001</v>
      </c>
      <c r="G61" s="1">
        <v>7.7329547999999998E-2</v>
      </c>
      <c r="H61" s="2">
        <f t="shared" si="0"/>
        <v>0.325360804</v>
      </c>
      <c r="I61" s="6">
        <v>1.7728082999999999E-2</v>
      </c>
      <c r="J61" s="6">
        <v>7.0987112000000005E-2</v>
      </c>
      <c r="K61" s="6">
        <v>3.0412092000000002E-2</v>
      </c>
      <c r="L61" s="6">
        <v>0</v>
      </c>
      <c r="M61" s="6">
        <v>4.6164589999999998E-3</v>
      </c>
    </row>
    <row r="62" spans="1:13" x14ac:dyDescent="0.25">
      <c r="A62" s="1" t="s">
        <v>32</v>
      </c>
      <c r="B62" s="2">
        <v>0</v>
      </c>
      <c r="C62" s="1">
        <v>7.0975191000000007E-2</v>
      </c>
      <c r="D62" s="2">
        <v>3.3024163000000002E-2</v>
      </c>
      <c r="E62" s="1">
        <v>0.105409057</v>
      </c>
      <c r="F62" s="1">
        <v>0.196441386</v>
      </c>
      <c r="G62" s="1">
        <v>6.5470859000000006E-2</v>
      </c>
      <c r="H62" s="2">
        <f t="shared" si="0"/>
        <v>0.36732130199999996</v>
      </c>
      <c r="I62" s="6">
        <v>2.8668097E-2</v>
      </c>
      <c r="J62" s="6">
        <v>8.9568439E-2</v>
      </c>
      <c r="K62" s="6">
        <v>1.0273910000000001E-2</v>
      </c>
      <c r="L62" s="6">
        <v>1.5194894E-2</v>
      </c>
      <c r="M62" s="6">
        <v>1.5395607E-2</v>
      </c>
    </row>
    <row r="63" spans="1:13" x14ac:dyDescent="0.25">
      <c r="A63" s="1" t="s">
        <v>33</v>
      </c>
      <c r="B63" s="2">
        <v>5.0552100000000001E-3</v>
      </c>
      <c r="C63" s="1">
        <v>2.9866462999999999E-2</v>
      </c>
      <c r="D63" s="2">
        <v>5.4030333E-2</v>
      </c>
      <c r="E63" s="1">
        <v>8.4942945000000006E-2</v>
      </c>
      <c r="F63" s="1">
        <v>0.121140175</v>
      </c>
      <c r="G63" s="1">
        <v>0.10210591400000001</v>
      </c>
      <c r="H63" s="2">
        <f t="shared" si="0"/>
        <v>0.30818903400000003</v>
      </c>
      <c r="I63" s="6">
        <v>3.603058E-2</v>
      </c>
      <c r="J63" s="6">
        <v>8.8705513E-2</v>
      </c>
      <c r="K63" s="6">
        <v>2.0512125999999999E-2</v>
      </c>
      <c r="L63" s="6">
        <v>2.1402001E-2</v>
      </c>
      <c r="M63" s="6">
        <v>1.9515685000000001E-2</v>
      </c>
    </row>
    <row r="64" spans="1:13" x14ac:dyDescent="0.25">
      <c r="A64" s="1" t="s">
        <v>34</v>
      </c>
      <c r="B64" s="2">
        <v>2.4270989999999998E-3</v>
      </c>
      <c r="C64" s="1">
        <v>3.6978442E-2</v>
      </c>
      <c r="D64" s="2">
        <v>5.2781732999999997E-2</v>
      </c>
      <c r="E64" s="1">
        <v>9.5857482999999993E-2</v>
      </c>
      <c r="F64" s="1">
        <v>0.18975805700000001</v>
      </c>
      <c r="G64" s="1">
        <v>9.5679820999999998E-2</v>
      </c>
      <c r="H64" s="2">
        <f t="shared" si="0"/>
        <v>0.381295361</v>
      </c>
      <c r="I64" s="6">
        <v>3.4919033000000002E-2</v>
      </c>
      <c r="J64" s="6">
        <v>6.5969044000000004E-2</v>
      </c>
      <c r="K64" s="6">
        <v>2.7867359000000001E-2</v>
      </c>
      <c r="L64" s="6">
        <v>1.2984021E-2</v>
      </c>
      <c r="M64" s="6">
        <v>1.9704038E-2</v>
      </c>
    </row>
    <row r="65" spans="1:13" x14ac:dyDescent="0.25">
      <c r="A65" s="1" t="s">
        <v>253</v>
      </c>
      <c r="B65" s="2">
        <v>8.7066090000000006E-3</v>
      </c>
      <c r="C65" s="1">
        <v>4.8351473999999998E-2</v>
      </c>
      <c r="D65" s="2">
        <v>9.6180498000000003E-2</v>
      </c>
      <c r="E65" s="1">
        <v>5.0013613999999998E-2</v>
      </c>
      <c r="F65" s="1">
        <v>0.18851891000000001</v>
      </c>
      <c r="G65" s="1">
        <v>9.7141607000000005E-2</v>
      </c>
      <c r="H65" s="2">
        <f t="shared" si="0"/>
        <v>0.33567413100000004</v>
      </c>
      <c r="I65" s="6">
        <v>3.5984228E-2</v>
      </c>
      <c r="J65" s="6">
        <v>8.4621068999999993E-2</v>
      </c>
      <c r="K65" s="6">
        <v>3.2511890000000002E-2</v>
      </c>
      <c r="L65" s="6">
        <v>2.8283173000000002E-2</v>
      </c>
      <c r="M65" s="6">
        <v>0</v>
      </c>
    </row>
    <row r="66" spans="1:13" x14ac:dyDescent="0.25">
      <c r="A66" s="1" t="s">
        <v>254</v>
      </c>
      <c r="B66" s="2">
        <v>5.9226030000000002E-3</v>
      </c>
      <c r="C66" s="1">
        <v>6.2920865000000006E-2</v>
      </c>
      <c r="D66" s="2">
        <v>7.9868018999999998E-2</v>
      </c>
      <c r="E66" s="1">
        <v>5.5408216000000003E-2</v>
      </c>
      <c r="F66" s="1">
        <v>0.16908056399999999</v>
      </c>
      <c r="G66" s="1">
        <v>9.5051864999999999E-2</v>
      </c>
      <c r="H66" s="2">
        <f t="shared" si="0"/>
        <v>0.31954064500000001</v>
      </c>
      <c r="I66" s="6">
        <v>2.6986559E-2</v>
      </c>
      <c r="J66" s="6">
        <v>8.7437444000000003E-2</v>
      </c>
      <c r="K66" s="6">
        <v>3.1236453000000001E-2</v>
      </c>
      <c r="L66" s="6">
        <v>1.9121539E-2</v>
      </c>
      <c r="M66" s="6">
        <v>1.8856253E-2</v>
      </c>
    </row>
    <row r="67" spans="1:13" x14ac:dyDescent="0.25">
      <c r="A67" s="1" t="s">
        <v>35</v>
      </c>
      <c r="B67" s="2">
        <v>1.3771079999999999E-3</v>
      </c>
      <c r="C67" s="1">
        <v>6.8892642000000004E-2</v>
      </c>
      <c r="D67" s="2">
        <v>3.6767924E-2</v>
      </c>
      <c r="E67" s="1">
        <v>7.0554144999999999E-2</v>
      </c>
      <c r="F67" s="1">
        <v>0.21571082599999999</v>
      </c>
      <c r="G67" s="1">
        <v>0.11942565199999999</v>
      </c>
      <c r="H67" s="2">
        <f t="shared" ref="H67:H130" si="1">SUM(E67:G67)</f>
        <v>0.40569062299999997</v>
      </c>
      <c r="I67" s="6">
        <v>4.0546813000000001E-2</v>
      </c>
      <c r="J67" s="6">
        <v>5.3197042999999999E-2</v>
      </c>
      <c r="K67" s="6">
        <v>5.6374759999999998E-3</v>
      </c>
      <c r="L67" s="6">
        <v>4.1510021000000001E-2</v>
      </c>
      <c r="M67" s="6">
        <v>8.0027540000000008E-3</v>
      </c>
    </row>
    <row r="68" spans="1:13" x14ac:dyDescent="0.25">
      <c r="A68" s="1" t="s">
        <v>36</v>
      </c>
      <c r="B68" s="2">
        <v>0</v>
      </c>
      <c r="C68" s="1">
        <v>6.0834903000000003E-2</v>
      </c>
      <c r="D68" s="2">
        <v>5.3426407000000002E-2</v>
      </c>
      <c r="E68" s="1">
        <v>5.0142137000000003E-2</v>
      </c>
      <c r="F68" s="1">
        <v>0.18454932900000001</v>
      </c>
      <c r="G68" s="1">
        <v>8.5838614999999993E-2</v>
      </c>
      <c r="H68" s="2">
        <f t="shared" si="1"/>
        <v>0.32053008100000002</v>
      </c>
      <c r="I68" s="6">
        <v>3.6712120000000001E-2</v>
      </c>
      <c r="J68" s="6">
        <v>8.1884060999999994E-2</v>
      </c>
      <c r="K68" s="6">
        <v>4.2990773000000003E-2</v>
      </c>
      <c r="L68" s="6">
        <v>7.900097E-3</v>
      </c>
      <c r="M68" s="6">
        <v>3.4169563E-2</v>
      </c>
    </row>
    <row r="69" spans="1:13" x14ac:dyDescent="0.25">
      <c r="A69" s="1" t="s">
        <v>255</v>
      </c>
      <c r="B69" s="2">
        <v>3.4114129999999999E-2</v>
      </c>
      <c r="C69" s="1">
        <v>2.1512403999999999E-2</v>
      </c>
      <c r="D69" s="2">
        <v>8.3437788999999998E-2</v>
      </c>
      <c r="E69" s="1">
        <v>5.2942754000000002E-2</v>
      </c>
      <c r="F69" s="1">
        <v>0.15564082700000001</v>
      </c>
      <c r="G69" s="1">
        <v>9.1472337000000001E-2</v>
      </c>
      <c r="H69" s="2">
        <f t="shared" si="1"/>
        <v>0.30005591800000003</v>
      </c>
      <c r="I69" s="6">
        <v>3.3556500000000003E-2</v>
      </c>
      <c r="J69" s="6">
        <v>6.1512814999999998E-2</v>
      </c>
      <c r="K69" s="6">
        <v>3.3852474E-2</v>
      </c>
      <c r="L69" s="6">
        <v>3.7305524999999999E-2</v>
      </c>
      <c r="M69" s="6">
        <v>1.5969002E-2</v>
      </c>
    </row>
    <row r="70" spans="1:13" x14ac:dyDescent="0.25">
      <c r="A70" s="1" t="s">
        <v>37</v>
      </c>
      <c r="B70" s="2">
        <v>0</v>
      </c>
      <c r="C70" s="1">
        <v>5.7879798000000003E-2</v>
      </c>
      <c r="D70" s="2">
        <v>4.6159967000000003E-2</v>
      </c>
      <c r="E70" s="1">
        <v>4.5680495000000002E-2</v>
      </c>
      <c r="F70" s="1">
        <v>0.16596186099999999</v>
      </c>
      <c r="G70" s="1">
        <v>0.116716399</v>
      </c>
      <c r="H70" s="2">
        <f t="shared" si="1"/>
        <v>0.328358755</v>
      </c>
      <c r="I70" s="6">
        <v>4.8023120000000002E-2</v>
      </c>
      <c r="J70" s="6">
        <v>6.2344745E-2</v>
      </c>
      <c r="K70" s="6">
        <v>3.1081263000000001E-2</v>
      </c>
      <c r="L70" s="6">
        <v>1.8273981000000002E-2</v>
      </c>
      <c r="M70" s="6">
        <v>1.4216507E-2</v>
      </c>
    </row>
    <row r="71" spans="1:13" x14ac:dyDescent="0.25">
      <c r="A71" s="1" t="s">
        <v>256</v>
      </c>
      <c r="B71" s="2">
        <v>3.568206E-3</v>
      </c>
      <c r="C71" s="1">
        <v>4.3615094E-2</v>
      </c>
      <c r="D71" s="2">
        <v>6.8376395000000006E-2</v>
      </c>
      <c r="E71" s="1">
        <v>8.5722870000000007E-2</v>
      </c>
      <c r="F71" s="1">
        <v>0.14615658000000001</v>
      </c>
      <c r="G71" s="1">
        <v>0.101465123</v>
      </c>
      <c r="H71" s="2">
        <f t="shared" si="1"/>
        <v>0.33334457300000003</v>
      </c>
      <c r="I71" s="6">
        <v>3.5086666000000002E-2</v>
      </c>
      <c r="J71" s="6">
        <v>8.4019827000000005E-2</v>
      </c>
      <c r="K71" s="6">
        <v>2.2180425E-2</v>
      </c>
      <c r="L71" s="6">
        <v>2.6834895000000001E-2</v>
      </c>
      <c r="M71" s="6">
        <v>3.8416240000000001E-3</v>
      </c>
    </row>
    <row r="72" spans="1:13" x14ac:dyDescent="0.25">
      <c r="A72" s="1" t="s">
        <v>38</v>
      </c>
      <c r="B72" s="2">
        <v>0</v>
      </c>
      <c r="C72" s="1">
        <v>7.0832282999999996E-2</v>
      </c>
      <c r="D72" s="2">
        <v>6.4073673999999997E-2</v>
      </c>
      <c r="E72" s="1">
        <v>0.10285275300000001</v>
      </c>
      <c r="F72" s="1">
        <v>0.15083880699999999</v>
      </c>
      <c r="G72" s="1">
        <v>9.3271559000000004E-2</v>
      </c>
      <c r="H72" s="2">
        <f t="shared" si="1"/>
        <v>0.34696311899999999</v>
      </c>
      <c r="I72" s="6">
        <v>3.4327115999999998E-2</v>
      </c>
      <c r="J72" s="6">
        <v>6.1062784000000002E-2</v>
      </c>
      <c r="K72" s="6">
        <v>3.8864718999999999E-2</v>
      </c>
      <c r="L72" s="6">
        <v>2.4837084999999998E-2</v>
      </c>
      <c r="M72" s="6">
        <v>0</v>
      </c>
    </row>
    <row r="73" spans="1:13" x14ac:dyDescent="0.25">
      <c r="A73" s="1" t="s">
        <v>257</v>
      </c>
      <c r="B73" s="2">
        <v>0</v>
      </c>
      <c r="C73" s="1">
        <v>4.6431739E-2</v>
      </c>
      <c r="D73" s="2">
        <v>6.7190685999999999E-2</v>
      </c>
      <c r="E73" s="1">
        <v>0.109636831</v>
      </c>
      <c r="F73" s="1">
        <v>0.172031031</v>
      </c>
      <c r="G73" s="1">
        <v>0.10156834100000001</v>
      </c>
      <c r="H73" s="2">
        <f t="shared" si="1"/>
        <v>0.383236203</v>
      </c>
      <c r="I73" s="6">
        <v>3.0469639E-2</v>
      </c>
      <c r="J73" s="6">
        <v>9.3731262999999995E-2</v>
      </c>
      <c r="K73" s="6">
        <v>1.4822124000000001E-2</v>
      </c>
      <c r="L73" s="6">
        <v>2.0638739999999999E-2</v>
      </c>
      <c r="M73" s="6">
        <v>1.1665137000000001E-2</v>
      </c>
    </row>
    <row r="74" spans="1:13" x14ac:dyDescent="0.25">
      <c r="A74" s="1" t="s">
        <v>258</v>
      </c>
      <c r="B74" s="2">
        <v>6.4819499999999996E-4</v>
      </c>
      <c r="C74" s="1">
        <v>6.4577864999999998E-2</v>
      </c>
      <c r="D74" s="2">
        <v>0.113228365</v>
      </c>
      <c r="E74" s="1">
        <v>2.9714955000000001E-2</v>
      </c>
      <c r="F74" s="1">
        <v>0.138011051</v>
      </c>
      <c r="G74" s="1">
        <v>0.109354485</v>
      </c>
      <c r="H74" s="2">
        <f t="shared" si="1"/>
        <v>0.27708049099999998</v>
      </c>
      <c r="I74" s="6">
        <v>3.6456785999999998E-2</v>
      </c>
      <c r="J74" s="6">
        <v>8.1707484999999996E-2</v>
      </c>
      <c r="K74" s="6">
        <v>2.0006156000000001E-2</v>
      </c>
      <c r="L74" s="6">
        <v>8.2692189999999995E-3</v>
      </c>
      <c r="M74" s="6">
        <v>1.5392553999999999E-2</v>
      </c>
    </row>
    <row r="75" spans="1:13" x14ac:dyDescent="0.25">
      <c r="A75" s="1" t="s">
        <v>39</v>
      </c>
      <c r="B75" s="2">
        <v>0</v>
      </c>
      <c r="C75" s="1">
        <v>5.7714149999999999E-2</v>
      </c>
      <c r="D75" s="2">
        <v>4.5746093000000002E-2</v>
      </c>
      <c r="E75" s="1">
        <v>4.7258375999999998E-2</v>
      </c>
      <c r="F75" s="1">
        <v>0.15952904200000001</v>
      </c>
      <c r="G75" s="1">
        <v>0.114031863</v>
      </c>
      <c r="H75" s="2">
        <f t="shared" si="1"/>
        <v>0.32081928100000001</v>
      </c>
      <c r="I75" s="6">
        <v>4.2235161E-2</v>
      </c>
      <c r="J75" s="6">
        <v>7.1815704999999994E-2</v>
      </c>
      <c r="K75" s="6">
        <v>1.4585689000000001E-2</v>
      </c>
      <c r="L75" s="6">
        <v>1.8540437999999999E-2</v>
      </c>
      <c r="M75" s="6">
        <v>1.2068107E-2</v>
      </c>
    </row>
    <row r="76" spans="1:13" x14ac:dyDescent="0.25">
      <c r="A76" s="1" t="s">
        <v>259</v>
      </c>
      <c r="B76" s="2">
        <v>1.2876090999999999E-2</v>
      </c>
      <c r="C76" s="1">
        <v>4.7696211000000002E-2</v>
      </c>
      <c r="D76" s="2">
        <v>9.6572345000000004E-2</v>
      </c>
      <c r="E76" s="1">
        <v>0.106142445</v>
      </c>
      <c r="F76" s="1">
        <v>0.118385502</v>
      </c>
      <c r="G76" s="1">
        <v>0.11962331499999999</v>
      </c>
      <c r="H76" s="2">
        <f t="shared" si="1"/>
        <v>0.34415126200000001</v>
      </c>
      <c r="I76" s="6">
        <v>3.2940015000000003E-2</v>
      </c>
      <c r="J76" s="6">
        <v>6.7189869999999999E-2</v>
      </c>
      <c r="K76" s="6">
        <v>1.8923730999999999E-2</v>
      </c>
      <c r="L76" s="6">
        <v>2.4727089000000001E-2</v>
      </c>
      <c r="M76" s="6">
        <v>1.346912E-3</v>
      </c>
    </row>
    <row r="77" spans="1:13" x14ac:dyDescent="0.25">
      <c r="A77" s="1" t="s">
        <v>260</v>
      </c>
      <c r="B77" s="2">
        <v>1.4026739E-2</v>
      </c>
      <c r="C77" s="1">
        <v>3.1182186000000001E-2</v>
      </c>
      <c r="D77" s="2">
        <v>5.2159485999999998E-2</v>
      </c>
      <c r="E77" s="1">
        <v>5.5191616999999998E-2</v>
      </c>
      <c r="F77" s="1">
        <v>0.15289620000000001</v>
      </c>
      <c r="G77" s="1">
        <v>9.8182463999999997E-2</v>
      </c>
      <c r="H77" s="2">
        <f t="shared" si="1"/>
        <v>0.30627028099999998</v>
      </c>
      <c r="I77" s="6">
        <v>3.7542361000000003E-2</v>
      </c>
      <c r="J77" s="6">
        <v>8.789516E-2</v>
      </c>
      <c r="K77" s="6">
        <v>1.7732133000000001E-2</v>
      </c>
      <c r="L77" s="6">
        <v>5.5472539999999997E-3</v>
      </c>
      <c r="M77" s="6">
        <v>1.8506723999999999E-2</v>
      </c>
    </row>
    <row r="78" spans="1:13" x14ac:dyDescent="0.25">
      <c r="A78" s="1" t="s">
        <v>40</v>
      </c>
      <c r="B78" s="2">
        <v>1.8125170999999999E-2</v>
      </c>
      <c r="C78" s="1">
        <v>4.9558504000000003E-2</v>
      </c>
      <c r="D78" s="2">
        <v>3.2321109000000001E-2</v>
      </c>
      <c r="E78" s="1">
        <v>0.11153292099999999</v>
      </c>
      <c r="F78" s="1">
        <v>0.13984883400000001</v>
      </c>
      <c r="G78" s="1">
        <v>8.4597011E-2</v>
      </c>
      <c r="H78" s="2">
        <f t="shared" si="1"/>
        <v>0.33597876599999998</v>
      </c>
      <c r="I78" s="6">
        <v>5.9127047000000002E-2</v>
      </c>
      <c r="J78" s="6">
        <v>8.2766786999999994E-2</v>
      </c>
      <c r="K78" s="6">
        <v>4.1703714000000003E-2</v>
      </c>
      <c r="L78" s="6">
        <v>1.0813701E-2</v>
      </c>
      <c r="M78" s="6">
        <v>2.7070783000000001E-2</v>
      </c>
    </row>
    <row r="79" spans="1:13" x14ac:dyDescent="0.25">
      <c r="A79" s="1" t="s">
        <v>41</v>
      </c>
      <c r="B79" s="2">
        <v>0</v>
      </c>
      <c r="C79" s="1">
        <v>5.6084741E-2</v>
      </c>
      <c r="D79" s="2">
        <v>7.2737971999999998E-2</v>
      </c>
      <c r="E79" s="1">
        <v>9.1436880999999998E-2</v>
      </c>
      <c r="F79" s="1">
        <v>0.14226625800000001</v>
      </c>
      <c r="G79" s="1">
        <v>9.1187208000000006E-2</v>
      </c>
      <c r="H79" s="2">
        <f t="shared" si="1"/>
        <v>0.32489034700000002</v>
      </c>
      <c r="I79" s="6">
        <v>3.3137512000000001E-2</v>
      </c>
      <c r="J79" s="6">
        <v>8.1004936999999999E-2</v>
      </c>
      <c r="K79" s="6">
        <v>1.6251046000000002E-2</v>
      </c>
      <c r="L79" s="6">
        <v>2.5467935000000001E-2</v>
      </c>
      <c r="M79" s="6">
        <v>1.5480209E-2</v>
      </c>
    </row>
    <row r="80" spans="1:13" x14ac:dyDescent="0.25">
      <c r="A80" s="1" t="s">
        <v>261</v>
      </c>
      <c r="B80" s="2">
        <v>0</v>
      </c>
      <c r="C80" s="1">
        <v>3.9525853999999999E-2</v>
      </c>
      <c r="D80" s="2">
        <v>7.6068917999999999E-2</v>
      </c>
      <c r="E80" s="1">
        <v>6.6622654000000003E-2</v>
      </c>
      <c r="F80" s="1">
        <v>0.145320583</v>
      </c>
      <c r="G80" s="1">
        <v>9.0699500000000002E-2</v>
      </c>
      <c r="H80" s="2">
        <f t="shared" si="1"/>
        <v>0.302642737</v>
      </c>
      <c r="I80" s="6">
        <v>3.5016792999999997E-2</v>
      </c>
      <c r="J80" s="6">
        <v>8.5262823000000001E-2</v>
      </c>
      <c r="K80" s="6">
        <v>2.6548833000000001E-2</v>
      </c>
      <c r="L80" s="6">
        <v>2.0119699000000001E-2</v>
      </c>
      <c r="M80" s="6">
        <v>1.3768005999999999E-2</v>
      </c>
    </row>
    <row r="81" spans="1:13" x14ac:dyDescent="0.25">
      <c r="A81" s="1" t="s">
        <v>262</v>
      </c>
      <c r="B81" s="2">
        <v>0</v>
      </c>
      <c r="C81" s="1">
        <v>5.5357492000000001E-2</v>
      </c>
      <c r="D81" s="2">
        <v>7.6921213000000002E-2</v>
      </c>
      <c r="E81" s="1">
        <v>7.6668447000000001E-2</v>
      </c>
      <c r="F81" s="1">
        <v>0.12566134100000001</v>
      </c>
      <c r="G81" s="1">
        <v>0.11708552899999999</v>
      </c>
      <c r="H81" s="2">
        <f t="shared" si="1"/>
        <v>0.31941531700000003</v>
      </c>
      <c r="I81" s="6">
        <v>4.2206476E-2</v>
      </c>
      <c r="J81" s="6">
        <v>7.3489618000000007E-2</v>
      </c>
      <c r="K81" s="6">
        <v>8.5925919999999996E-3</v>
      </c>
      <c r="L81" s="6">
        <v>1.3870214000000001E-2</v>
      </c>
      <c r="M81" s="6">
        <v>6.7413719999999998E-3</v>
      </c>
    </row>
    <row r="82" spans="1:13" x14ac:dyDescent="0.25">
      <c r="A82" s="1" t="s">
        <v>42</v>
      </c>
      <c r="B82" s="2">
        <v>0</v>
      </c>
      <c r="C82" s="1">
        <v>6.6193550000000004E-2</v>
      </c>
      <c r="D82" s="2">
        <v>6.5020497999999996E-2</v>
      </c>
      <c r="E82" s="1">
        <v>8.4244806000000005E-2</v>
      </c>
      <c r="F82" s="1">
        <v>0.136883274</v>
      </c>
      <c r="G82" s="1">
        <v>8.0750412999999993E-2</v>
      </c>
      <c r="H82" s="2">
        <f t="shared" si="1"/>
        <v>0.30187849300000003</v>
      </c>
      <c r="I82" s="6">
        <v>2.6576348999999999E-2</v>
      </c>
      <c r="J82" s="6">
        <v>7.6734048999999999E-2</v>
      </c>
      <c r="K82" s="6">
        <v>2.3726608E-2</v>
      </c>
      <c r="L82" s="6">
        <v>1.5747513000000001E-2</v>
      </c>
      <c r="M82" s="6">
        <v>1.0329270000000001E-3</v>
      </c>
    </row>
    <row r="83" spans="1:13" x14ac:dyDescent="0.25">
      <c r="A83" s="1" t="s">
        <v>263</v>
      </c>
      <c r="B83" s="2">
        <v>1.4062710000000001E-2</v>
      </c>
      <c r="C83" s="1">
        <v>4.7305074000000003E-2</v>
      </c>
      <c r="D83" s="2">
        <v>7.0324600000000001E-2</v>
      </c>
      <c r="E83" s="1">
        <v>8.1412024E-2</v>
      </c>
      <c r="F83" s="1">
        <v>0.171653841</v>
      </c>
      <c r="G83" s="1">
        <v>7.6727326999999998E-2</v>
      </c>
      <c r="H83" s="2">
        <f t="shared" si="1"/>
        <v>0.32979319200000001</v>
      </c>
      <c r="I83" s="6">
        <v>2.8604924E-2</v>
      </c>
      <c r="J83" s="6">
        <v>4.2761349999999997E-2</v>
      </c>
      <c r="K83" s="6">
        <v>2.4309376000000001E-2</v>
      </c>
      <c r="L83" s="6">
        <v>1.0762819999999999E-2</v>
      </c>
      <c r="M83" s="6">
        <v>5.0014830000000001E-3</v>
      </c>
    </row>
    <row r="84" spans="1:13" x14ac:dyDescent="0.25">
      <c r="A84" s="1" t="s">
        <v>264</v>
      </c>
      <c r="B84" s="2">
        <v>1.9383076999999999E-2</v>
      </c>
      <c r="C84" s="1">
        <v>3.4127035E-2</v>
      </c>
      <c r="D84" s="2">
        <v>3.5960012E-2</v>
      </c>
      <c r="E84" s="1">
        <v>0.13085952200000001</v>
      </c>
      <c r="F84" s="1">
        <v>0.15730090799999999</v>
      </c>
      <c r="G84" s="1">
        <v>0.11491205</v>
      </c>
      <c r="H84" s="2">
        <f t="shared" si="1"/>
        <v>0.40307248000000001</v>
      </c>
      <c r="I84" s="6">
        <v>3.4418391E-2</v>
      </c>
      <c r="J84" s="6">
        <v>5.1079232000000002E-2</v>
      </c>
      <c r="K84" s="6">
        <v>2.1077564E-2</v>
      </c>
      <c r="L84" s="6">
        <v>1.1146717E-2</v>
      </c>
      <c r="M84" s="6">
        <v>7.646145E-3</v>
      </c>
    </row>
    <row r="85" spans="1:13" x14ac:dyDescent="0.25">
      <c r="A85" s="1" t="s">
        <v>43</v>
      </c>
      <c r="B85" s="2">
        <v>4.2170710000000002E-3</v>
      </c>
      <c r="C85" s="1">
        <v>6.0790200000000003E-2</v>
      </c>
      <c r="D85" s="2">
        <v>4.5466263999999999E-2</v>
      </c>
      <c r="E85" s="1">
        <v>0.10197413800000001</v>
      </c>
      <c r="F85" s="1">
        <v>0.159872387</v>
      </c>
      <c r="G85" s="1">
        <v>8.1502176999999995E-2</v>
      </c>
      <c r="H85" s="2">
        <f t="shared" si="1"/>
        <v>0.34334870200000001</v>
      </c>
      <c r="I85" s="6">
        <v>3.8437078999999999E-2</v>
      </c>
      <c r="J85" s="6">
        <v>9.2586716999999999E-2</v>
      </c>
      <c r="K85" s="6">
        <v>2.4403642999999999E-2</v>
      </c>
      <c r="L85" s="6">
        <v>1.0576291E-2</v>
      </c>
      <c r="M85" s="6">
        <v>1.2618917E-2</v>
      </c>
    </row>
    <row r="86" spans="1:13" x14ac:dyDescent="0.25">
      <c r="A86" s="1" t="s">
        <v>265</v>
      </c>
      <c r="B86" s="2">
        <v>6.9558900000000004E-4</v>
      </c>
      <c r="C86" s="1">
        <v>8.5001251999999999E-2</v>
      </c>
      <c r="D86" s="2">
        <v>3.7316304000000002E-2</v>
      </c>
      <c r="E86" s="1">
        <v>8.1947078000000007E-2</v>
      </c>
      <c r="F86" s="1">
        <v>0.15289376299999999</v>
      </c>
      <c r="G86" s="1">
        <v>0.117917328</v>
      </c>
      <c r="H86" s="2">
        <f t="shared" si="1"/>
        <v>0.35275816900000001</v>
      </c>
      <c r="I86" s="6">
        <v>4.7262305999999997E-2</v>
      </c>
      <c r="J86" s="6">
        <v>4.8778717999999999E-2</v>
      </c>
      <c r="K86" s="6">
        <v>2.6158694E-2</v>
      </c>
      <c r="L86" s="6">
        <v>3.2743812999999997E-2</v>
      </c>
      <c r="M86" s="6">
        <v>1.7371014000000001E-2</v>
      </c>
    </row>
    <row r="87" spans="1:13" x14ac:dyDescent="0.25">
      <c r="A87" s="1" t="s">
        <v>266</v>
      </c>
      <c r="B87" s="2">
        <v>0</v>
      </c>
      <c r="C87" s="1">
        <v>4.8384793000000002E-2</v>
      </c>
      <c r="D87" s="2">
        <v>7.2370017999999994E-2</v>
      </c>
      <c r="E87" s="1">
        <v>7.3124725000000002E-2</v>
      </c>
      <c r="F87" s="1">
        <v>0.145700406</v>
      </c>
      <c r="G87" s="1">
        <v>9.1650545999999999E-2</v>
      </c>
      <c r="H87" s="2">
        <f t="shared" si="1"/>
        <v>0.31047567700000001</v>
      </c>
      <c r="I87" s="6">
        <v>3.3516790999999997E-2</v>
      </c>
      <c r="J87" s="6">
        <v>8.7495853999999998E-2</v>
      </c>
      <c r="K87" s="6">
        <v>2.7033339E-2</v>
      </c>
      <c r="L87" s="6">
        <v>3.5791344000000003E-2</v>
      </c>
      <c r="M87" s="6">
        <v>1.5274764E-2</v>
      </c>
    </row>
    <row r="88" spans="1:13" x14ac:dyDescent="0.25">
      <c r="A88" s="1" t="s">
        <v>267</v>
      </c>
      <c r="B88" s="2">
        <v>0</v>
      </c>
      <c r="C88" s="1">
        <v>7.8780661000000002E-2</v>
      </c>
      <c r="D88" s="2">
        <v>4.7671330999999997E-2</v>
      </c>
      <c r="E88" s="1">
        <v>6.4531754999999996E-2</v>
      </c>
      <c r="F88" s="1">
        <v>0.171755994</v>
      </c>
      <c r="G88" s="1">
        <v>0.105504427</v>
      </c>
      <c r="H88" s="2">
        <f t="shared" si="1"/>
        <v>0.341792176</v>
      </c>
      <c r="I88" s="6">
        <v>4.0181055E-2</v>
      </c>
      <c r="J88" s="6">
        <v>8.8028451999999993E-2</v>
      </c>
      <c r="K88" s="6">
        <v>1.5219442E-2</v>
      </c>
      <c r="L88" s="6">
        <v>4.5165100000000002E-4</v>
      </c>
      <c r="M88" s="6">
        <v>2.390255E-3</v>
      </c>
    </row>
    <row r="89" spans="1:13" x14ac:dyDescent="0.25">
      <c r="A89" s="1" t="s">
        <v>268</v>
      </c>
      <c r="B89" s="2">
        <v>0</v>
      </c>
      <c r="C89" s="1">
        <v>5.5763602000000002E-2</v>
      </c>
      <c r="D89" s="2">
        <v>6.1968609000000001E-2</v>
      </c>
      <c r="E89" s="1">
        <v>9.2822996000000005E-2</v>
      </c>
      <c r="F89" s="1">
        <v>0.137933046</v>
      </c>
      <c r="G89" s="1">
        <v>0.10308911900000001</v>
      </c>
      <c r="H89" s="2">
        <f t="shared" si="1"/>
        <v>0.333845161</v>
      </c>
      <c r="I89" s="6">
        <v>3.6303858000000001E-2</v>
      </c>
      <c r="J89" s="6">
        <v>6.7622109999999999E-2</v>
      </c>
      <c r="K89" s="6">
        <v>1.0225857E-2</v>
      </c>
      <c r="L89" s="6">
        <v>1.397929E-2</v>
      </c>
      <c r="M89" s="6">
        <v>1.4146064999999999E-2</v>
      </c>
    </row>
    <row r="90" spans="1:13" x14ac:dyDescent="0.25">
      <c r="A90" s="1" t="s">
        <v>44</v>
      </c>
      <c r="B90" s="2">
        <v>0</v>
      </c>
      <c r="C90" s="1">
        <v>3.4092132999999997E-2</v>
      </c>
      <c r="D90" s="2">
        <v>9.0857664000000005E-2</v>
      </c>
      <c r="E90" s="1">
        <v>7.3785856999999996E-2</v>
      </c>
      <c r="F90" s="1">
        <v>0.14111679699999999</v>
      </c>
      <c r="G90" s="1">
        <v>0.11225693</v>
      </c>
      <c r="H90" s="2">
        <f t="shared" si="1"/>
        <v>0.327159584</v>
      </c>
      <c r="I90" s="6">
        <v>4.8135056000000002E-2</v>
      </c>
      <c r="J90" s="6">
        <v>5.2093296999999997E-2</v>
      </c>
      <c r="K90" s="6">
        <v>3.5937362E-2</v>
      </c>
      <c r="L90" s="6">
        <v>2.1531917000000001E-2</v>
      </c>
      <c r="M90" s="6">
        <v>1.9703556000000001E-2</v>
      </c>
    </row>
    <row r="91" spans="1:13" x14ac:dyDescent="0.25">
      <c r="A91" s="1" t="s">
        <v>45</v>
      </c>
      <c r="B91" s="2">
        <v>0</v>
      </c>
      <c r="C91" s="1">
        <v>4.9764528000000002E-2</v>
      </c>
      <c r="D91" s="2">
        <v>5.2998581000000003E-2</v>
      </c>
      <c r="E91" s="1">
        <v>8.6703325999999997E-2</v>
      </c>
      <c r="F91" s="1">
        <v>0.161762726</v>
      </c>
      <c r="G91" s="1">
        <v>0.10263272700000001</v>
      </c>
      <c r="H91" s="2">
        <f t="shared" si="1"/>
        <v>0.35109877899999997</v>
      </c>
      <c r="I91" s="6">
        <v>3.4070039000000003E-2</v>
      </c>
      <c r="J91" s="6">
        <v>7.2552293000000004E-2</v>
      </c>
      <c r="K91" s="6">
        <v>2.6132576000000001E-2</v>
      </c>
      <c r="L91" s="6">
        <v>1.7046276999999999E-2</v>
      </c>
      <c r="M91" s="6">
        <v>5.8242980000000003E-3</v>
      </c>
    </row>
    <row r="92" spans="1:13" x14ac:dyDescent="0.25">
      <c r="A92" s="1" t="s">
        <v>46</v>
      </c>
      <c r="B92" s="2">
        <v>0</v>
      </c>
      <c r="C92" s="1">
        <v>5.8004527E-2</v>
      </c>
      <c r="D92" s="2">
        <v>8.0159218000000004E-2</v>
      </c>
      <c r="E92" s="1">
        <v>0.12185101</v>
      </c>
      <c r="F92" s="1">
        <v>0.13753879599999999</v>
      </c>
      <c r="G92" s="1">
        <v>8.0718313E-2</v>
      </c>
      <c r="H92" s="2">
        <f t="shared" si="1"/>
        <v>0.34010811899999999</v>
      </c>
      <c r="I92" s="6">
        <v>3.7403916000000002E-2</v>
      </c>
      <c r="J92" s="6">
        <v>3.3601641000000002E-2</v>
      </c>
      <c r="K92" s="6">
        <v>1.8864055000000001E-2</v>
      </c>
      <c r="L92" s="6">
        <v>2.2124301999999998E-2</v>
      </c>
      <c r="M92" s="6">
        <v>8.4629799999999999E-4</v>
      </c>
    </row>
    <row r="93" spans="1:13" x14ac:dyDescent="0.25">
      <c r="A93" s="1" t="s">
        <v>269</v>
      </c>
      <c r="B93" s="2">
        <v>4.4135529999999997E-3</v>
      </c>
      <c r="C93" s="1">
        <v>4.2120668999999999E-2</v>
      </c>
      <c r="D93" s="2">
        <v>7.2551774999999999E-2</v>
      </c>
      <c r="E93" s="1">
        <v>5.3017265000000001E-2</v>
      </c>
      <c r="F93" s="1">
        <v>0.145693396</v>
      </c>
      <c r="G93" s="1">
        <v>0.112021367</v>
      </c>
      <c r="H93" s="2">
        <f t="shared" si="1"/>
        <v>0.31073202799999999</v>
      </c>
      <c r="I93" s="6">
        <v>3.5434609999999998E-2</v>
      </c>
      <c r="J93" s="6">
        <v>9.6273117000000005E-2</v>
      </c>
      <c r="K93" s="6">
        <v>2.1370421000000001E-2</v>
      </c>
      <c r="L93" s="6">
        <v>1.4845812999999999E-2</v>
      </c>
      <c r="M93" s="6">
        <v>1.5897258000000001E-2</v>
      </c>
    </row>
    <row r="94" spans="1:13" x14ac:dyDescent="0.25">
      <c r="A94" s="1" t="s">
        <v>270</v>
      </c>
      <c r="B94" s="2">
        <v>0</v>
      </c>
      <c r="C94" s="1">
        <v>3.6620857999999999E-2</v>
      </c>
      <c r="D94" s="2">
        <v>5.9495146999999998E-2</v>
      </c>
      <c r="E94" s="1">
        <v>6.7855597000000004E-2</v>
      </c>
      <c r="F94" s="1">
        <v>0.169699614</v>
      </c>
      <c r="G94" s="1">
        <v>9.0422154000000005E-2</v>
      </c>
      <c r="H94" s="2">
        <f t="shared" si="1"/>
        <v>0.32797736499999997</v>
      </c>
      <c r="I94" s="6">
        <v>3.4088756999999997E-2</v>
      </c>
      <c r="J94" s="6">
        <v>7.9691766999999997E-2</v>
      </c>
      <c r="K94" s="6">
        <v>2.6133801000000002E-2</v>
      </c>
      <c r="L94" s="6">
        <v>4.1454584000000003E-2</v>
      </c>
      <c r="M94" s="6">
        <v>1.4206908000000001E-2</v>
      </c>
    </row>
    <row r="95" spans="1:13" x14ac:dyDescent="0.25">
      <c r="A95" s="1" t="s">
        <v>271</v>
      </c>
      <c r="B95" s="2">
        <v>2.9395340000000002E-3</v>
      </c>
      <c r="C95" s="1">
        <v>5.5983291999999997E-2</v>
      </c>
      <c r="D95" s="2">
        <v>6.9560614000000007E-2</v>
      </c>
      <c r="E95" s="1">
        <v>4.8845912999999998E-2</v>
      </c>
      <c r="F95" s="1">
        <v>0.15686322699999999</v>
      </c>
      <c r="G95" s="1">
        <v>0.115016941</v>
      </c>
      <c r="H95" s="2">
        <f t="shared" si="1"/>
        <v>0.320726081</v>
      </c>
      <c r="I95" s="6">
        <v>2.8122241999999999E-2</v>
      </c>
      <c r="J95" s="6">
        <v>8.7149007000000001E-2</v>
      </c>
      <c r="K95" s="6">
        <v>2.2258015999999999E-2</v>
      </c>
      <c r="L95" s="6">
        <v>9.1872129999999996E-3</v>
      </c>
      <c r="M95" s="6">
        <v>2.0666624000000001E-2</v>
      </c>
    </row>
    <row r="96" spans="1:13" x14ac:dyDescent="0.25">
      <c r="A96" s="1" t="s">
        <v>272</v>
      </c>
      <c r="B96" s="2">
        <v>3.4108758000000003E-2</v>
      </c>
      <c r="C96" s="1">
        <v>3.3314020999999999E-2</v>
      </c>
      <c r="D96" s="2">
        <v>0.150686403</v>
      </c>
      <c r="E96" s="1">
        <v>3.8126030999999998E-2</v>
      </c>
      <c r="F96" s="1">
        <v>8.9024489999999998E-2</v>
      </c>
      <c r="G96" s="1">
        <v>0.14760793699999999</v>
      </c>
      <c r="H96" s="2">
        <f t="shared" si="1"/>
        <v>0.27475845799999998</v>
      </c>
      <c r="I96" s="6">
        <v>3.1055029000000001E-2</v>
      </c>
      <c r="J96" s="6">
        <v>4.8197233999999999E-2</v>
      </c>
      <c r="K96" s="6">
        <v>2.5415123000000001E-2</v>
      </c>
      <c r="L96" s="6">
        <v>5.1959889999999998E-3</v>
      </c>
      <c r="M96" s="6">
        <v>0</v>
      </c>
    </row>
    <row r="97" spans="1:13" x14ac:dyDescent="0.25">
      <c r="A97" s="1" t="s">
        <v>47</v>
      </c>
      <c r="B97" s="2">
        <v>0</v>
      </c>
      <c r="C97" s="1">
        <v>7.1670050999999999E-2</v>
      </c>
      <c r="D97" s="2">
        <v>2.7227529E-2</v>
      </c>
      <c r="E97" s="1">
        <v>6.8617123000000002E-2</v>
      </c>
      <c r="F97" s="1">
        <v>0.15922567700000001</v>
      </c>
      <c r="G97" s="1">
        <v>0.102074606</v>
      </c>
      <c r="H97" s="2">
        <f t="shared" si="1"/>
        <v>0.32991740600000002</v>
      </c>
      <c r="I97" s="6">
        <v>4.2714060999999998E-2</v>
      </c>
      <c r="J97" s="6">
        <v>8.6684762999999998E-2</v>
      </c>
      <c r="K97" s="6">
        <v>2.2780023E-2</v>
      </c>
      <c r="L97" s="6">
        <v>1.7329107999999999E-2</v>
      </c>
      <c r="M97" s="6">
        <v>1.0279643E-2</v>
      </c>
    </row>
    <row r="98" spans="1:13" x14ac:dyDescent="0.25">
      <c r="A98" s="1" t="s">
        <v>48</v>
      </c>
      <c r="B98" s="2">
        <v>0</v>
      </c>
      <c r="C98" s="1">
        <v>7.0780088000000005E-2</v>
      </c>
      <c r="D98" s="2">
        <v>3.1220261999999999E-2</v>
      </c>
      <c r="E98" s="1">
        <v>6.0655150999999997E-2</v>
      </c>
      <c r="F98" s="1">
        <v>0.1919189</v>
      </c>
      <c r="G98" s="1">
        <v>8.102898E-2</v>
      </c>
      <c r="H98" s="2">
        <f t="shared" si="1"/>
        <v>0.33360303099999999</v>
      </c>
      <c r="I98" s="6">
        <v>3.3853863999999997E-2</v>
      </c>
      <c r="J98" s="6">
        <v>8.1191012000000007E-2</v>
      </c>
      <c r="K98" s="6">
        <v>2.0284068999999998E-2</v>
      </c>
      <c r="L98" s="6">
        <v>1.4641054000000001E-2</v>
      </c>
      <c r="M98" s="6">
        <v>9.2266819999999999E-3</v>
      </c>
    </row>
    <row r="99" spans="1:13" x14ac:dyDescent="0.25">
      <c r="A99" s="1" t="s">
        <v>273</v>
      </c>
      <c r="B99" s="2">
        <v>1.6426636000000001E-2</v>
      </c>
      <c r="C99" s="1">
        <v>4.0844865000000001E-2</v>
      </c>
      <c r="D99" s="2">
        <v>6.1301163999999998E-2</v>
      </c>
      <c r="E99" s="1">
        <v>2.5834268000000001E-2</v>
      </c>
      <c r="F99" s="1">
        <v>0.166278387</v>
      </c>
      <c r="G99" s="1">
        <v>6.9598617000000002E-2</v>
      </c>
      <c r="H99" s="2">
        <f t="shared" si="1"/>
        <v>0.26171127199999999</v>
      </c>
      <c r="I99" s="6">
        <v>2.6217139E-2</v>
      </c>
      <c r="J99" s="6">
        <v>3.2490276999999998E-2</v>
      </c>
      <c r="K99" s="6">
        <v>3.0825623E-2</v>
      </c>
      <c r="L99" s="6">
        <v>3.0302275E-2</v>
      </c>
      <c r="M99" s="6">
        <v>1.5254838E-2</v>
      </c>
    </row>
    <row r="100" spans="1:13" x14ac:dyDescent="0.25">
      <c r="A100" s="1" t="s">
        <v>49</v>
      </c>
      <c r="B100" s="2">
        <v>0</v>
      </c>
      <c r="C100" s="1">
        <v>6.3107979999999994E-2</v>
      </c>
      <c r="D100" s="2">
        <v>5.2136354000000003E-2</v>
      </c>
      <c r="E100" s="1">
        <v>4.6128810999999999E-2</v>
      </c>
      <c r="F100" s="1">
        <v>0.15182264400000001</v>
      </c>
      <c r="G100" s="1">
        <v>0.12598928700000001</v>
      </c>
      <c r="H100" s="2">
        <f t="shared" si="1"/>
        <v>0.323940742</v>
      </c>
      <c r="I100" s="6">
        <v>3.3963451999999998E-2</v>
      </c>
      <c r="J100" s="6">
        <v>9.7384039000000006E-2</v>
      </c>
      <c r="K100" s="6">
        <v>1.6704085E-2</v>
      </c>
      <c r="L100" s="6">
        <v>6.3542479999999998E-3</v>
      </c>
      <c r="M100" s="6">
        <v>2.5794772000000001E-2</v>
      </c>
    </row>
    <row r="101" spans="1:13" x14ac:dyDescent="0.25">
      <c r="A101" s="1" t="s">
        <v>50</v>
      </c>
      <c r="B101" s="2">
        <v>2.3402430000000001E-3</v>
      </c>
      <c r="C101" s="1">
        <v>6.6851474999999994E-2</v>
      </c>
      <c r="D101" s="2">
        <v>5.2004272999999997E-2</v>
      </c>
      <c r="E101" s="1">
        <v>3.7697399999999999E-2</v>
      </c>
      <c r="F101" s="1">
        <v>0.19350936799999999</v>
      </c>
      <c r="G101" s="1">
        <v>0.13380354899999999</v>
      </c>
      <c r="H101" s="2">
        <f t="shared" si="1"/>
        <v>0.36501031699999997</v>
      </c>
      <c r="I101" s="6">
        <v>5.660784E-2</v>
      </c>
      <c r="J101" s="6">
        <v>0.10767711000000001</v>
      </c>
      <c r="K101" s="6">
        <v>2.8143919999999999E-2</v>
      </c>
      <c r="L101" s="6">
        <v>3.0819320000000001E-2</v>
      </c>
      <c r="M101" s="6">
        <v>1.9449654E-2</v>
      </c>
    </row>
    <row r="102" spans="1:13" x14ac:dyDescent="0.25">
      <c r="A102" s="1" t="s">
        <v>274</v>
      </c>
      <c r="B102" s="2">
        <v>7.8524809999999997E-3</v>
      </c>
      <c r="C102" s="1">
        <v>5.1540463000000002E-2</v>
      </c>
      <c r="D102" s="2">
        <v>0.10305120700000001</v>
      </c>
      <c r="E102" s="1">
        <v>7.6987581999999999E-2</v>
      </c>
      <c r="F102" s="1">
        <v>0.10357298700000001</v>
      </c>
      <c r="G102" s="1">
        <v>0.120594329</v>
      </c>
      <c r="H102" s="2">
        <f t="shared" si="1"/>
        <v>0.301154898</v>
      </c>
      <c r="I102" s="6">
        <v>3.506194E-2</v>
      </c>
      <c r="J102" s="6">
        <v>7.1316708000000006E-2</v>
      </c>
      <c r="K102" s="6">
        <v>3.7311375000000001E-2</v>
      </c>
      <c r="L102" s="6">
        <v>2.0548879999999999E-2</v>
      </c>
      <c r="M102" s="6">
        <v>1.1848687E-2</v>
      </c>
    </row>
    <row r="103" spans="1:13" x14ac:dyDescent="0.25">
      <c r="A103" s="1" t="s">
        <v>51</v>
      </c>
      <c r="B103" s="2">
        <v>1.424278E-3</v>
      </c>
      <c r="C103" s="1">
        <v>4.2083890999999998E-2</v>
      </c>
      <c r="D103" s="2">
        <v>3.2322262999999997E-2</v>
      </c>
      <c r="E103" s="1">
        <v>6.2058264000000002E-2</v>
      </c>
      <c r="F103" s="1">
        <v>0.20970443499999999</v>
      </c>
      <c r="G103" s="1">
        <v>7.1361961000000002E-2</v>
      </c>
      <c r="H103" s="2">
        <f t="shared" si="1"/>
        <v>0.34312465999999997</v>
      </c>
      <c r="I103" s="6">
        <v>3.8653324000000003E-2</v>
      </c>
      <c r="J103" s="6">
        <v>9.7966224000000005E-2</v>
      </c>
      <c r="K103" s="6">
        <v>4.5338611000000001E-2</v>
      </c>
      <c r="L103" s="6">
        <v>1.8842859E-2</v>
      </c>
      <c r="M103" s="6">
        <v>3.4639679E-2</v>
      </c>
    </row>
    <row r="104" spans="1:13" x14ac:dyDescent="0.25">
      <c r="A104" s="1" t="s">
        <v>52</v>
      </c>
      <c r="B104" s="2">
        <v>2.5671075000000002E-2</v>
      </c>
      <c r="C104" s="1">
        <v>3.9526657999999999E-2</v>
      </c>
      <c r="D104" s="2">
        <v>6.2114032999999999E-2</v>
      </c>
      <c r="E104" s="1">
        <v>4.7578101999999997E-2</v>
      </c>
      <c r="F104" s="1">
        <v>0.18376105000000001</v>
      </c>
      <c r="G104" s="1">
        <v>9.4209521000000004E-2</v>
      </c>
      <c r="H104" s="2">
        <f t="shared" si="1"/>
        <v>0.32554867300000001</v>
      </c>
      <c r="I104" s="6">
        <v>3.5693874E-2</v>
      </c>
      <c r="J104" s="6">
        <v>8.4505649000000002E-2</v>
      </c>
      <c r="K104" s="6">
        <v>2.9607310000000001E-2</v>
      </c>
      <c r="L104" s="6">
        <v>1.1615119E-2</v>
      </c>
      <c r="M104" s="6">
        <v>2.3106036999999999E-2</v>
      </c>
    </row>
    <row r="105" spans="1:13" x14ac:dyDescent="0.25">
      <c r="A105" s="1" t="s">
        <v>275</v>
      </c>
      <c r="B105" s="2">
        <v>2.3880080000000001E-3</v>
      </c>
      <c r="C105" s="1">
        <v>4.5631049999999999E-2</v>
      </c>
      <c r="D105" s="2">
        <v>9.5651132E-2</v>
      </c>
      <c r="E105" s="1">
        <v>0.10429321699999999</v>
      </c>
      <c r="F105" s="1">
        <v>0.114369506</v>
      </c>
      <c r="G105" s="1">
        <v>0.15290500900000001</v>
      </c>
      <c r="H105" s="2">
        <f t="shared" si="1"/>
        <v>0.37156773200000004</v>
      </c>
      <c r="I105" s="6">
        <v>5.0170645E-2</v>
      </c>
      <c r="J105" s="6">
        <v>5.3710018999999998E-2</v>
      </c>
      <c r="K105" s="6">
        <v>1.3573757000000001E-2</v>
      </c>
      <c r="L105" s="6">
        <v>1.044915E-3</v>
      </c>
      <c r="M105" s="6">
        <v>4.446925E-3</v>
      </c>
    </row>
    <row r="106" spans="1:13" x14ac:dyDescent="0.25">
      <c r="A106" s="1" t="s">
        <v>276</v>
      </c>
      <c r="B106" s="2">
        <v>1.5514131E-2</v>
      </c>
      <c r="C106" s="1">
        <v>4.5539560999999999E-2</v>
      </c>
      <c r="D106" s="2">
        <v>5.6229369000000001E-2</v>
      </c>
      <c r="E106" s="1">
        <v>9.1059059999999997E-2</v>
      </c>
      <c r="F106" s="1">
        <v>0.169260048</v>
      </c>
      <c r="G106" s="1">
        <v>8.4390866999999994E-2</v>
      </c>
      <c r="H106" s="2">
        <f t="shared" si="1"/>
        <v>0.344709975</v>
      </c>
      <c r="I106" s="6">
        <v>4.1464992999999999E-2</v>
      </c>
      <c r="J106" s="6">
        <v>4.9687535999999997E-2</v>
      </c>
      <c r="K106" s="6">
        <v>1.5134962E-2</v>
      </c>
      <c r="L106" s="6">
        <v>1.548476E-2</v>
      </c>
      <c r="M106" s="6">
        <v>1.0136957E-2</v>
      </c>
    </row>
    <row r="107" spans="1:13" x14ac:dyDescent="0.25">
      <c r="A107" s="1" t="s">
        <v>53</v>
      </c>
      <c r="B107" s="2">
        <v>0</v>
      </c>
      <c r="C107" s="1">
        <v>4.1446102999999998E-2</v>
      </c>
      <c r="D107" s="2">
        <v>6.709975E-2</v>
      </c>
      <c r="E107" s="1">
        <v>6.6060733999999996E-2</v>
      </c>
      <c r="F107" s="1">
        <v>0.15955449799999999</v>
      </c>
      <c r="G107" s="1">
        <v>9.3181106999999999E-2</v>
      </c>
      <c r="H107" s="2">
        <f t="shared" si="1"/>
        <v>0.31879633899999998</v>
      </c>
      <c r="I107" s="6">
        <v>2.7738631999999999E-2</v>
      </c>
      <c r="J107" s="6">
        <v>0.100687077</v>
      </c>
      <c r="K107" s="6">
        <v>2.4926937999999999E-2</v>
      </c>
      <c r="L107" s="6">
        <v>1.8497863E-2</v>
      </c>
      <c r="M107" s="6">
        <v>1.1520053000000001E-2</v>
      </c>
    </row>
    <row r="108" spans="1:13" x14ac:dyDescent="0.25">
      <c r="A108" s="1" t="s">
        <v>277</v>
      </c>
      <c r="B108" s="2">
        <v>1.5183523000000001E-2</v>
      </c>
      <c r="C108" s="1">
        <v>3.0564674999999999E-2</v>
      </c>
      <c r="D108" s="2">
        <v>6.6226249000000001E-2</v>
      </c>
      <c r="E108" s="1">
        <v>6.6705515000000007E-2</v>
      </c>
      <c r="F108" s="1">
        <v>0.17543826200000001</v>
      </c>
      <c r="G108" s="1">
        <v>0.13468363799999999</v>
      </c>
      <c r="H108" s="2">
        <f t="shared" si="1"/>
        <v>0.376827415</v>
      </c>
      <c r="I108" s="6">
        <v>3.2875614999999997E-2</v>
      </c>
      <c r="J108" s="6">
        <v>8.6019336000000002E-2</v>
      </c>
      <c r="K108" s="6">
        <v>1.9739085E-2</v>
      </c>
      <c r="L108" s="6">
        <v>2.9419609999999999E-2</v>
      </c>
      <c r="M108" s="6">
        <v>4.628475E-3</v>
      </c>
    </row>
    <row r="109" spans="1:13" x14ac:dyDescent="0.25">
      <c r="A109" s="1" t="s">
        <v>54</v>
      </c>
      <c r="B109" s="2">
        <v>0</v>
      </c>
      <c r="C109" s="1">
        <v>4.0386652000000002E-2</v>
      </c>
      <c r="D109" s="2">
        <v>6.7167670999999998E-2</v>
      </c>
      <c r="E109" s="1">
        <v>5.0543376000000001E-2</v>
      </c>
      <c r="F109" s="1">
        <v>0.14626212099999999</v>
      </c>
      <c r="G109" s="1">
        <v>9.9200413000000001E-2</v>
      </c>
      <c r="H109" s="2">
        <f t="shared" si="1"/>
        <v>0.29600590999999998</v>
      </c>
      <c r="I109" s="6">
        <v>3.0631728E-2</v>
      </c>
      <c r="J109" s="6">
        <v>9.8266828000000001E-2</v>
      </c>
      <c r="K109" s="6">
        <v>2.2421640999999999E-2</v>
      </c>
      <c r="L109" s="6">
        <v>3.0489224999999998E-2</v>
      </c>
      <c r="M109" s="6">
        <v>1.9839847000000001E-2</v>
      </c>
    </row>
    <row r="110" spans="1:13" x14ac:dyDescent="0.25">
      <c r="A110" s="1" t="s">
        <v>278</v>
      </c>
      <c r="B110" s="2">
        <v>0</v>
      </c>
      <c r="C110" s="1">
        <v>5.6345185999999998E-2</v>
      </c>
      <c r="D110" s="2">
        <v>3.4379131E-2</v>
      </c>
      <c r="E110" s="1">
        <v>4.5637406999999998E-2</v>
      </c>
      <c r="F110" s="1">
        <v>0.17369857399999999</v>
      </c>
      <c r="G110" s="1">
        <v>0.10149233000000001</v>
      </c>
      <c r="H110" s="2">
        <f t="shared" si="1"/>
        <v>0.32082831099999998</v>
      </c>
      <c r="I110" s="6">
        <v>5.4064848999999998E-2</v>
      </c>
      <c r="J110" s="6">
        <v>9.4780708000000005E-2</v>
      </c>
      <c r="K110" s="6">
        <v>2.884283E-2</v>
      </c>
      <c r="L110" s="6">
        <v>1.0845146E-2</v>
      </c>
      <c r="M110" s="6">
        <v>2.0241015000000001E-2</v>
      </c>
    </row>
    <row r="111" spans="1:13" x14ac:dyDescent="0.25">
      <c r="A111" s="1" t="s">
        <v>55</v>
      </c>
      <c r="B111" s="2">
        <v>0</v>
      </c>
      <c r="C111" s="1">
        <v>5.1446184999999998E-2</v>
      </c>
      <c r="D111" s="2">
        <v>7.2320995999999999E-2</v>
      </c>
      <c r="E111" s="1">
        <v>7.5492023000000005E-2</v>
      </c>
      <c r="F111" s="1">
        <v>0.168013834</v>
      </c>
      <c r="G111" s="1">
        <v>9.3841872000000007E-2</v>
      </c>
      <c r="H111" s="2">
        <f t="shared" si="1"/>
        <v>0.33734772899999999</v>
      </c>
      <c r="I111" s="6">
        <v>3.2896146000000001E-2</v>
      </c>
      <c r="J111" s="6">
        <v>6.9428487999999997E-2</v>
      </c>
      <c r="K111" s="6">
        <v>2.3380128999999999E-2</v>
      </c>
      <c r="L111" s="6">
        <v>2.3792977E-2</v>
      </c>
      <c r="M111" s="6">
        <v>1.5505372E-2</v>
      </c>
    </row>
    <row r="112" spans="1:13" x14ac:dyDescent="0.25">
      <c r="A112" s="1" t="s">
        <v>56</v>
      </c>
      <c r="B112" s="2">
        <v>8.7662000000000005E-4</v>
      </c>
      <c r="C112" s="1">
        <v>6.1982906999999997E-2</v>
      </c>
      <c r="D112" s="2">
        <v>2.8902181999999998E-2</v>
      </c>
      <c r="E112" s="1">
        <v>7.0348865999999996E-2</v>
      </c>
      <c r="F112" s="1">
        <v>0.13833414299999999</v>
      </c>
      <c r="G112" s="1">
        <v>9.3230764999999993E-2</v>
      </c>
      <c r="H112" s="2">
        <f t="shared" si="1"/>
        <v>0.30191377399999997</v>
      </c>
      <c r="I112" s="6">
        <v>5.1865886E-2</v>
      </c>
      <c r="J112" s="6">
        <v>0.107683476</v>
      </c>
      <c r="K112" s="6">
        <v>3.7132673999999997E-2</v>
      </c>
      <c r="L112" s="6">
        <v>1.3019012E-2</v>
      </c>
      <c r="M112" s="6">
        <v>1.369311E-3</v>
      </c>
    </row>
    <row r="113" spans="1:13" x14ac:dyDescent="0.25">
      <c r="A113" s="1" t="s">
        <v>279</v>
      </c>
      <c r="B113" s="2">
        <v>2.5825223000000001E-2</v>
      </c>
      <c r="C113" s="1">
        <v>4.8094775999999999E-2</v>
      </c>
      <c r="D113" s="2">
        <v>8.3919002000000006E-2</v>
      </c>
      <c r="E113" s="1">
        <v>4.6697209000000003E-2</v>
      </c>
      <c r="F113" s="1">
        <v>0.16448262299999999</v>
      </c>
      <c r="G113" s="1">
        <v>0.136494951</v>
      </c>
      <c r="H113" s="2">
        <f t="shared" si="1"/>
        <v>0.34767478299999999</v>
      </c>
      <c r="I113" s="6">
        <v>3.5902615999999998E-2</v>
      </c>
      <c r="J113" s="6">
        <v>6.4439822999999993E-2</v>
      </c>
      <c r="K113" s="6">
        <v>1.5624661999999999E-2</v>
      </c>
      <c r="L113" s="6">
        <v>1.5277671E-2</v>
      </c>
      <c r="M113" s="6">
        <v>1.4081475E-2</v>
      </c>
    </row>
    <row r="114" spans="1:13" x14ac:dyDescent="0.25">
      <c r="A114" s="1" t="s">
        <v>280</v>
      </c>
      <c r="B114" s="2">
        <v>1.6909968000000001E-2</v>
      </c>
      <c r="C114" s="1">
        <v>2.8012299000000001E-2</v>
      </c>
      <c r="D114" s="2">
        <v>8.3738591000000001E-2</v>
      </c>
      <c r="E114" s="1">
        <v>8.5899628000000006E-2</v>
      </c>
      <c r="F114" s="1">
        <v>0.121839646</v>
      </c>
      <c r="G114" s="1">
        <v>0.118874008</v>
      </c>
      <c r="H114" s="2">
        <f t="shared" si="1"/>
        <v>0.326613282</v>
      </c>
      <c r="I114" s="6">
        <v>3.127783E-2</v>
      </c>
      <c r="J114" s="6">
        <v>6.3967999999999997E-2</v>
      </c>
      <c r="K114" s="6">
        <v>3.6656016999999999E-2</v>
      </c>
      <c r="L114" s="6">
        <v>2.0298305999999999E-2</v>
      </c>
      <c r="M114" s="6">
        <v>1.3272977E-2</v>
      </c>
    </row>
    <row r="115" spans="1:13" x14ac:dyDescent="0.25">
      <c r="A115" s="1" t="s">
        <v>281</v>
      </c>
      <c r="B115" s="2">
        <v>0</v>
      </c>
      <c r="C115" s="1">
        <v>4.4289334E-2</v>
      </c>
      <c r="D115" s="2">
        <v>6.9868405999999994E-2</v>
      </c>
      <c r="E115" s="1">
        <v>9.8392041E-2</v>
      </c>
      <c r="F115" s="1">
        <v>0.137541572</v>
      </c>
      <c r="G115" s="1">
        <v>0.10910053</v>
      </c>
      <c r="H115" s="2">
        <f t="shared" si="1"/>
        <v>0.34503414300000002</v>
      </c>
      <c r="I115" s="6">
        <v>3.2351085000000002E-2</v>
      </c>
      <c r="J115" s="6">
        <v>7.6589280999999995E-2</v>
      </c>
      <c r="K115" s="6">
        <v>2.4804711E-2</v>
      </c>
      <c r="L115" s="6">
        <v>1.9664094999999999E-2</v>
      </c>
      <c r="M115" s="6">
        <v>3.86784E-3</v>
      </c>
    </row>
    <row r="116" spans="1:13" x14ac:dyDescent="0.25">
      <c r="A116" s="1" t="s">
        <v>57</v>
      </c>
      <c r="B116" s="2">
        <v>0</v>
      </c>
      <c r="C116" s="1">
        <v>4.7067342999999998E-2</v>
      </c>
      <c r="D116" s="2">
        <v>4.1966119000000003E-2</v>
      </c>
      <c r="E116" s="1">
        <v>7.1205641E-2</v>
      </c>
      <c r="F116" s="1">
        <v>0.196396178</v>
      </c>
      <c r="G116" s="1">
        <v>0.10696596</v>
      </c>
      <c r="H116" s="2">
        <f t="shared" si="1"/>
        <v>0.37456777900000005</v>
      </c>
      <c r="I116" s="6">
        <v>3.8955529000000003E-2</v>
      </c>
      <c r="J116" s="6">
        <v>8.6554205999999995E-2</v>
      </c>
      <c r="K116" s="6">
        <v>1.4260675E-2</v>
      </c>
      <c r="L116" s="6">
        <v>2.0186678E-2</v>
      </c>
      <c r="M116" s="6">
        <v>3.4151714999999999E-2</v>
      </c>
    </row>
    <row r="117" spans="1:13" x14ac:dyDescent="0.25">
      <c r="A117" s="1" t="s">
        <v>58</v>
      </c>
      <c r="B117" s="2">
        <v>0</v>
      </c>
      <c r="C117" s="1">
        <v>5.1031272000000003E-2</v>
      </c>
      <c r="D117" s="2">
        <v>7.2722129999999996E-2</v>
      </c>
      <c r="E117" s="1">
        <v>8.0072479000000002E-2</v>
      </c>
      <c r="F117" s="1">
        <v>0.15691548599999999</v>
      </c>
      <c r="G117" s="1">
        <v>8.1409413E-2</v>
      </c>
      <c r="H117" s="2">
        <f t="shared" si="1"/>
        <v>0.31839737800000001</v>
      </c>
      <c r="I117" s="6">
        <v>2.2519596999999999E-2</v>
      </c>
      <c r="J117" s="6">
        <v>9.2276004999999994E-2</v>
      </c>
      <c r="K117" s="6">
        <v>3.2877278000000003E-2</v>
      </c>
      <c r="L117" s="6">
        <v>2.0009510000000001E-2</v>
      </c>
      <c r="M117" s="6">
        <v>1.5007318E-2</v>
      </c>
    </row>
    <row r="118" spans="1:13" x14ac:dyDescent="0.25">
      <c r="A118" s="1" t="s">
        <v>59</v>
      </c>
      <c r="B118" s="2">
        <v>0</v>
      </c>
      <c r="C118" s="1">
        <v>5.5696047999999998E-2</v>
      </c>
      <c r="D118" s="2">
        <v>5.3535642000000001E-2</v>
      </c>
      <c r="E118" s="1">
        <v>6.8062101999999999E-2</v>
      </c>
      <c r="F118" s="1">
        <v>0.20426134600000001</v>
      </c>
      <c r="G118" s="1">
        <v>6.1237641000000002E-2</v>
      </c>
      <c r="H118" s="2">
        <f t="shared" si="1"/>
        <v>0.33356108900000003</v>
      </c>
      <c r="I118" s="6">
        <v>3.6146488999999997E-2</v>
      </c>
      <c r="J118" s="6">
        <v>6.0252489999999999E-2</v>
      </c>
      <c r="K118" s="6">
        <v>2.4310795999999999E-2</v>
      </c>
      <c r="L118" s="6">
        <v>2.3456731000000001E-2</v>
      </c>
      <c r="M118" s="6">
        <v>8.7539980000000007E-3</v>
      </c>
    </row>
    <row r="119" spans="1:13" x14ac:dyDescent="0.25">
      <c r="A119" s="1" t="s">
        <v>282</v>
      </c>
      <c r="B119" s="2">
        <v>0</v>
      </c>
      <c r="C119" s="1">
        <v>4.7304516999999997E-2</v>
      </c>
      <c r="D119" s="2">
        <v>5.5689389999999998E-2</v>
      </c>
      <c r="E119" s="1">
        <v>0.10727914099999999</v>
      </c>
      <c r="F119" s="1">
        <v>0.16981280300000001</v>
      </c>
      <c r="G119" s="1">
        <v>8.2335154999999993E-2</v>
      </c>
      <c r="H119" s="2">
        <f t="shared" si="1"/>
        <v>0.35942709900000003</v>
      </c>
      <c r="I119" s="6">
        <v>4.0108641E-2</v>
      </c>
      <c r="J119" s="6">
        <v>5.0649371999999998E-2</v>
      </c>
      <c r="K119" s="6">
        <v>1.7469133000000001E-2</v>
      </c>
      <c r="L119" s="6">
        <v>1.0473559E-2</v>
      </c>
      <c r="M119" s="6">
        <v>9.1261659999999998E-3</v>
      </c>
    </row>
    <row r="120" spans="1:13" x14ac:dyDescent="0.25">
      <c r="A120" s="1" t="s">
        <v>283</v>
      </c>
      <c r="B120" s="2">
        <v>0</v>
      </c>
      <c r="C120" s="1">
        <v>7.0770501E-2</v>
      </c>
      <c r="D120" s="2">
        <v>1.0933727000000001E-2</v>
      </c>
      <c r="E120" s="1">
        <v>8.6021565999999994E-2</v>
      </c>
      <c r="F120" s="1">
        <v>0.17108886500000001</v>
      </c>
      <c r="G120" s="1">
        <v>4.7331402000000002E-2</v>
      </c>
      <c r="H120" s="2">
        <f t="shared" si="1"/>
        <v>0.304441833</v>
      </c>
      <c r="I120" s="6">
        <v>2.2432792E-2</v>
      </c>
      <c r="J120" s="6">
        <v>0.122016562</v>
      </c>
      <c r="K120" s="6">
        <v>1.6441783000000001E-2</v>
      </c>
      <c r="L120" s="6">
        <v>9.8392150000000001E-3</v>
      </c>
      <c r="M120" s="6">
        <v>2.2186574000000001E-2</v>
      </c>
    </row>
    <row r="121" spans="1:13" x14ac:dyDescent="0.25">
      <c r="A121" s="1" t="s">
        <v>284</v>
      </c>
      <c r="B121" s="2">
        <v>0</v>
      </c>
      <c r="C121" s="1">
        <v>3.4690008000000001E-2</v>
      </c>
      <c r="D121" s="2">
        <v>7.2488454999999993E-2</v>
      </c>
      <c r="E121" s="1">
        <v>4.7406592999999997E-2</v>
      </c>
      <c r="F121" s="1">
        <v>0.15444464499999999</v>
      </c>
      <c r="G121" s="1">
        <v>9.7203046000000001E-2</v>
      </c>
      <c r="H121" s="2">
        <f t="shared" si="1"/>
        <v>0.299054284</v>
      </c>
      <c r="I121" s="6">
        <v>2.9139531E-2</v>
      </c>
      <c r="J121" s="6">
        <v>0.11471142600000001</v>
      </c>
      <c r="K121" s="6">
        <v>2.6166745000000002E-2</v>
      </c>
      <c r="L121" s="6">
        <v>2.5870450999999999E-2</v>
      </c>
      <c r="M121" s="6">
        <v>1.3119034E-2</v>
      </c>
    </row>
    <row r="122" spans="1:13" x14ac:dyDescent="0.25">
      <c r="A122" s="1" t="s">
        <v>60</v>
      </c>
      <c r="B122" s="2">
        <v>6.2235119999999996E-3</v>
      </c>
      <c r="C122" s="1">
        <v>7.6067309999999999E-2</v>
      </c>
      <c r="D122" s="2">
        <v>6.0037030999999998E-2</v>
      </c>
      <c r="E122" s="1">
        <v>4.9820578999999997E-2</v>
      </c>
      <c r="F122" s="1">
        <v>0.14347021200000001</v>
      </c>
      <c r="G122" s="1">
        <v>9.2061165E-2</v>
      </c>
      <c r="H122" s="2">
        <f t="shared" si="1"/>
        <v>0.28535195600000002</v>
      </c>
      <c r="I122" s="6">
        <v>4.0647524999999997E-2</v>
      </c>
      <c r="J122" s="6">
        <v>0.10528834300000001</v>
      </c>
      <c r="K122" s="6">
        <v>2.2526521000000001E-2</v>
      </c>
      <c r="L122" s="6">
        <v>7.0573709999999998E-3</v>
      </c>
      <c r="M122" s="6">
        <v>2.2526625000000002E-2</v>
      </c>
    </row>
    <row r="123" spans="1:13" x14ac:dyDescent="0.25">
      <c r="A123" s="1" t="s">
        <v>61</v>
      </c>
      <c r="B123" s="2">
        <v>3.0743459000000001E-2</v>
      </c>
      <c r="C123" s="1">
        <v>3.2221254999999997E-2</v>
      </c>
      <c r="D123" s="2">
        <v>5.4054268000000003E-2</v>
      </c>
      <c r="E123" s="1">
        <v>9.0351556999999999E-2</v>
      </c>
      <c r="F123" s="1">
        <v>0.19130760999999999</v>
      </c>
      <c r="G123" s="1">
        <v>7.6832081999999996E-2</v>
      </c>
      <c r="H123" s="2">
        <f t="shared" si="1"/>
        <v>0.35849124899999996</v>
      </c>
      <c r="I123" s="6">
        <v>3.6738710000000001E-2</v>
      </c>
      <c r="J123" s="6">
        <v>2.9956805999999999E-2</v>
      </c>
      <c r="K123" s="6">
        <v>2.8345540999999998E-2</v>
      </c>
      <c r="L123" s="6">
        <v>1.7738687999999999E-2</v>
      </c>
      <c r="M123" s="6">
        <v>0</v>
      </c>
    </row>
    <row r="124" spans="1:13" x14ac:dyDescent="0.25">
      <c r="A124" s="1" t="s">
        <v>285</v>
      </c>
      <c r="B124" s="2">
        <v>6.0178640000000004E-3</v>
      </c>
      <c r="C124" s="1">
        <v>3.1421860000000003E-2</v>
      </c>
      <c r="D124" s="2">
        <v>7.9259309999999999E-2</v>
      </c>
      <c r="E124" s="1">
        <v>0.141815419</v>
      </c>
      <c r="F124" s="1">
        <v>0.15859010500000001</v>
      </c>
      <c r="G124" s="1">
        <v>0.101918827</v>
      </c>
      <c r="H124" s="2">
        <f t="shared" si="1"/>
        <v>0.40232435099999997</v>
      </c>
      <c r="I124" s="6">
        <v>3.3995623000000003E-2</v>
      </c>
      <c r="J124" s="6">
        <v>4.2207764000000002E-2</v>
      </c>
      <c r="K124" s="6">
        <v>1.7096659E-2</v>
      </c>
      <c r="L124" s="6">
        <v>1.7987337999999999E-2</v>
      </c>
      <c r="M124" s="6">
        <v>1.96393E-3</v>
      </c>
    </row>
    <row r="125" spans="1:13" x14ac:dyDescent="0.25">
      <c r="A125" s="1" t="s">
        <v>62</v>
      </c>
      <c r="B125" s="2">
        <v>0</v>
      </c>
      <c r="C125" s="1">
        <v>7.0996504000000002E-2</v>
      </c>
      <c r="D125" s="2">
        <v>7.0435070000000002E-2</v>
      </c>
      <c r="E125" s="1">
        <v>9.7433960999999999E-2</v>
      </c>
      <c r="F125" s="1">
        <v>0.17065182600000001</v>
      </c>
      <c r="G125" s="1">
        <v>0.105992321</v>
      </c>
      <c r="H125" s="2">
        <f t="shared" si="1"/>
        <v>0.37407810800000002</v>
      </c>
      <c r="I125" s="6">
        <v>2.7457853000000001E-2</v>
      </c>
      <c r="J125" s="6">
        <v>0.10480566199999999</v>
      </c>
      <c r="K125" s="6">
        <v>2.1339153E-2</v>
      </c>
      <c r="L125" s="6">
        <v>1.7765466000000001E-2</v>
      </c>
      <c r="M125" s="6">
        <v>3.4319899999999998E-4</v>
      </c>
    </row>
    <row r="126" spans="1:13" x14ac:dyDescent="0.25">
      <c r="A126" s="1" t="s">
        <v>63</v>
      </c>
      <c r="B126" s="2">
        <v>1.1825667999999999E-2</v>
      </c>
      <c r="C126" s="1">
        <v>4.3957102999999997E-2</v>
      </c>
      <c r="D126" s="2">
        <v>5.5654733999999997E-2</v>
      </c>
      <c r="E126" s="1">
        <v>9.3759833000000001E-2</v>
      </c>
      <c r="F126" s="1">
        <v>0.16041375399999999</v>
      </c>
      <c r="G126" s="1">
        <v>8.0944305999999994E-2</v>
      </c>
      <c r="H126" s="2">
        <f t="shared" si="1"/>
        <v>0.33511789299999994</v>
      </c>
      <c r="I126" s="6">
        <v>2.8565875000000001E-2</v>
      </c>
      <c r="J126" s="6">
        <v>4.2672032999999998E-2</v>
      </c>
      <c r="K126" s="6">
        <v>2.1736845000000001E-2</v>
      </c>
      <c r="L126" s="6">
        <v>2.0104401000000001E-2</v>
      </c>
      <c r="M126" s="6">
        <v>3.7306599999999998E-3</v>
      </c>
    </row>
    <row r="127" spans="1:13" x14ac:dyDescent="0.25">
      <c r="A127" s="1" t="s">
        <v>286</v>
      </c>
      <c r="B127" s="2">
        <v>0</v>
      </c>
      <c r="C127" s="1">
        <v>4.7226381999999997E-2</v>
      </c>
      <c r="D127" s="2">
        <v>4.6968061999999998E-2</v>
      </c>
      <c r="E127" s="1">
        <v>6.9775040999999996E-2</v>
      </c>
      <c r="F127" s="1">
        <v>0.17242439100000001</v>
      </c>
      <c r="G127" s="1">
        <v>0.109804454</v>
      </c>
      <c r="H127" s="2">
        <f t="shared" si="1"/>
        <v>0.35200388599999999</v>
      </c>
      <c r="I127" s="6">
        <v>4.0552578999999998E-2</v>
      </c>
      <c r="J127" s="6">
        <v>7.6526721000000006E-2</v>
      </c>
      <c r="K127" s="6">
        <v>3.3440471999999999E-2</v>
      </c>
      <c r="L127" s="6">
        <v>2.4552124000000002E-2</v>
      </c>
      <c r="M127" s="6">
        <v>4.5034740000000004E-3</v>
      </c>
    </row>
    <row r="128" spans="1:13" x14ac:dyDescent="0.25">
      <c r="A128" s="1" t="s">
        <v>64</v>
      </c>
      <c r="B128" s="2">
        <v>2.3471149999999999E-3</v>
      </c>
      <c r="C128" s="1">
        <v>5.4921813E-2</v>
      </c>
      <c r="D128" s="2">
        <v>8.1155538999999999E-2</v>
      </c>
      <c r="E128" s="1">
        <v>4.7372442000000001E-2</v>
      </c>
      <c r="F128" s="1">
        <v>0.16807511</v>
      </c>
      <c r="G128" s="1">
        <v>0.101606089</v>
      </c>
      <c r="H128" s="2">
        <f t="shared" si="1"/>
        <v>0.317053641</v>
      </c>
      <c r="I128" s="6">
        <v>2.7364550000000001E-2</v>
      </c>
      <c r="J128" s="6">
        <v>8.2597662000000002E-2</v>
      </c>
      <c r="K128" s="6">
        <v>3.8262021E-2</v>
      </c>
      <c r="L128" s="6">
        <v>1.5155009000000001E-2</v>
      </c>
      <c r="M128" s="6">
        <v>2.2024587000000002E-2</v>
      </c>
    </row>
    <row r="129" spans="1:13" x14ac:dyDescent="0.25">
      <c r="A129" s="1" t="s">
        <v>287</v>
      </c>
      <c r="B129" s="2">
        <v>0</v>
      </c>
      <c r="C129" s="1">
        <v>4.4049482000000001E-2</v>
      </c>
      <c r="D129" s="2">
        <v>9.0455037000000002E-2</v>
      </c>
      <c r="E129" s="1">
        <v>7.6814181999999995E-2</v>
      </c>
      <c r="F129" s="1">
        <v>0.12991282700000001</v>
      </c>
      <c r="G129" s="1">
        <v>0.106051785</v>
      </c>
      <c r="H129" s="2">
        <f t="shared" si="1"/>
        <v>0.31277879400000003</v>
      </c>
      <c r="I129" s="6">
        <v>2.6247765999999999E-2</v>
      </c>
      <c r="J129" s="6">
        <v>7.5404117000000007E-2</v>
      </c>
      <c r="K129" s="6">
        <v>2.0292461000000001E-2</v>
      </c>
      <c r="L129" s="6">
        <v>2.7436275E-2</v>
      </c>
      <c r="M129" s="6">
        <v>1.3586503999999999E-2</v>
      </c>
    </row>
    <row r="130" spans="1:13" x14ac:dyDescent="0.25">
      <c r="A130" s="1" t="s">
        <v>65</v>
      </c>
      <c r="B130" s="2">
        <v>0</v>
      </c>
      <c r="C130" s="1">
        <v>7.0900740000000004E-2</v>
      </c>
      <c r="D130" s="2">
        <v>1.6173106999999999E-2</v>
      </c>
      <c r="E130" s="1">
        <v>8.0731147000000003E-2</v>
      </c>
      <c r="F130" s="1">
        <v>0.22879629700000001</v>
      </c>
      <c r="G130" s="1">
        <v>9.5065048999999999E-2</v>
      </c>
      <c r="H130" s="2">
        <f t="shared" si="1"/>
        <v>0.404592493</v>
      </c>
      <c r="I130" s="6">
        <v>4.1378990999999997E-2</v>
      </c>
      <c r="J130" s="6">
        <v>8.6645567000000007E-2</v>
      </c>
      <c r="K130" s="6">
        <v>1.2187863E-2</v>
      </c>
      <c r="L130" s="6">
        <v>1.1640729000000001E-2</v>
      </c>
      <c r="M130" s="6">
        <v>0</v>
      </c>
    </row>
    <row r="131" spans="1:13" x14ac:dyDescent="0.25">
      <c r="A131" s="1" t="s">
        <v>66</v>
      </c>
      <c r="B131" s="2">
        <v>2.4865199000000001E-2</v>
      </c>
      <c r="C131" s="1">
        <v>1.0253028000000001E-2</v>
      </c>
      <c r="D131" s="2">
        <v>7.1570692000000005E-2</v>
      </c>
      <c r="E131" s="1">
        <v>8.1350907E-2</v>
      </c>
      <c r="F131" s="1">
        <v>0.166178666</v>
      </c>
      <c r="G131" s="1">
        <v>0.10957442000000001</v>
      </c>
      <c r="H131" s="2">
        <f t="shared" ref="H131:H194" si="2">SUM(E131:G131)</f>
        <v>0.35710399300000001</v>
      </c>
      <c r="I131" s="6">
        <v>3.3135407999999998E-2</v>
      </c>
      <c r="J131" s="6">
        <v>9.0457646000000003E-2</v>
      </c>
      <c r="K131" s="6">
        <v>2.2203629999999999E-3</v>
      </c>
      <c r="L131" s="6">
        <v>1.6493890000000001E-2</v>
      </c>
      <c r="M131" s="6">
        <v>1.7886150999999999E-2</v>
      </c>
    </row>
    <row r="132" spans="1:13" x14ac:dyDescent="0.25">
      <c r="A132" s="1" t="s">
        <v>288</v>
      </c>
      <c r="B132" s="2">
        <v>0</v>
      </c>
      <c r="C132" s="1">
        <v>7.0121194999999997E-2</v>
      </c>
      <c r="D132" s="2">
        <v>6.7647619000000006E-2</v>
      </c>
      <c r="E132" s="1">
        <v>7.4576674999999995E-2</v>
      </c>
      <c r="F132" s="1">
        <v>7.6276619000000004E-2</v>
      </c>
      <c r="G132" s="1">
        <v>0.103750166</v>
      </c>
      <c r="H132" s="2">
        <f t="shared" si="2"/>
        <v>0.25460346</v>
      </c>
      <c r="I132" s="6">
        <v>4.1649878000000001E-2</v>
      </c>
      <c r="J132" s="6">
        <v>0.12800745199999999</v>
      </c>
      <c r="K132" s="6">
        <v>2.4388683000000001E-2</v>
      </c>
      <c r="L132" s="6">
        <v>9.733729E-3</v>
      </c>
      <c r="M132" s="6">
        <v>5.2959849999999996E-3</v>
      </c>
    </row>
    <row r="133" spans="1:13" x14ac:dyDescent="0.25">
      <c r="A133" s="1" t="s">
        <v>67</v>
      </c>
      <c r="B133" s="2">
        <v>2.683497E-3</v>
      </c>
      <c r="C133" s="1">
        <v>3.5366725000000002E-2</v>
      </c>
      <c r="D133" s="2">
        <v>4.9682759999999999E-2</v>
      </c>
      <c r="E133" s="1">
        <v>7.7613489999999993E-2</v>
      </c>
      <c r="F133" s="1">
        <v>0.19848933699999999</v>
      </c>
      <c r="G133" s="1">
        <v>9.2144482E-2</v>
      </c>
      <c r="H133" s="2">
        <f t="shared" si="2"/>
        <v>0.36824730900000002</v>
      </c>
      <c r="I133" s="6">
        <v>4.3206069E-2</v>
      </c>
      <c r="J133" s="6">
        <v>6.4348630000000004E-2</v>
      </c>
      <c r="K133" s="6">
        <v>1.4673136E-2</v>
      </c>
      <c r="L133" s="6">
        <v>3.3694099999999998E-2</v>
      </c>
      <c r="M133" s="6">
        <v>1.6390650000000001E-3</v>
      </c>
    </row>
    <row r="134" spans="1:13" x14ac:dyDescent="0.25">
      <c r="A134" s="1" t="s">
        <v>68</v>
      </c>
      <c r="B134" s="2">
        <v>9.9090859999999992E-3</v>
      </c>
      <c r="C134" s="1">
        <v>4.8567224999999999E-2</v>
      </c>
      <c r="D134" s="2">
        <v>8.3339669000000005E-2</v>
      </c>
      <c r="E134" s="1">
        <v>7.7109812E-2</v>
      </c>
      <c r="F134" s="1">
        <v>0.14870857500000001</v>
      </c>
      <c r="G134" s="1">
        <v>8.9077976000000003E-2</v>
      </c>
      <c r="H134" s="2">
        <f t="shared" si="2"/>
        <v>0.31489636300000001</v>
      </c>
      <c r="I134" s="6">
        <v>3.7774924000000001E-2</v>
      </c>
      <c r="J134" s="6">
        <v>5.1534167999999998E-2</v>
      </c>
      <c r="K134" s="6">
        <v>2.6835356000000001E-2</v>
      </c>
      <c r="L134" s="6">
        <v>2.0495379000000001E-2</v>
      </c>
      <c r="M134" s="6">
        <v>1.8286140000000001E-3</v>
      </c>
    </row>
    <row r="135" spans="1:13" x14ac:dyDescent="0.25">
      <c r="A135" s="1" t="s">
        <v>69</v>
      </c>
      <c r="B135" s="2">
        <v>8.9335679999999994E-3</v>
      </c>
      <c r="C135" s="1">
        <v>6.5372879999999994E-2</v>
      </c>
      <c r="D135" s="2">
        <v>7.2634787000000006E-2</v>
      </c>
      <c r="E135" s="1">
        <v>6.7663203000000005E-2</v>
      </c>
      <c r="F135" s="1">
        <v>0.166464678</v>
      </c>
      <c r="G135" s="1">
        <v>9.5516081000000003E-2</v>
      </c>
      <c r="H135" s="2">
        <f t="shared" si="2"/>
        <v>0.32964396200000001</v>
      </c>
      <c r="I135" s="6">
        <v>2.5932291E-2</v>
      </c>
      <c r="J135" s="6">
        <v>0.10664883999999999</v>
      </c>
      <c r="K135" s="6">
        <v>1.0447104E-2</v>
      </c>
      <c r="L135" s="6">
        <v>2.6927019999999999E-3</v>
      </c>
      <c r="M135" s="6">
        <v>1.8650869E-2</v>
      </c>
    </row>
    <row r="136" spans="1:13" x14ac:dyDescent="0.25">
      <c r="A136" s="1" t="s">
        <v>289</v>
      </c>
      <c r="B136" s="2">
        <v>1.2706787000000001E-2</v>
      </c>
      <c r="C136" s="1">
        <v>3.4639797999999999E-2</v>
      </c>
      <c r="D136" s="2">
        <v>0.11189729299999999</v>
      </c>
      <c r="E136" s="1">
        <v>6.4223137999999999E-2</v>
      </c>
      <c r="F136" s="1">
        <v>0.11668952</v>
      </c>
      <c r="G136" s="1">
        <v>0.119013197</v>
      </c>
      <c r="H136" s="2">
        <f t="shared" si="2"/>
        <v>0.29992585500000002</v>
      </c>
      <c r="I136" s="6">
        <v>3.7614558999999999E-2</v>
      </c>
      <c r="J136" s="6">
        <v>6.3769093999999998E-2</v>
      </c>
      <c r="K136" s="6">
        <v>2.1541907999999999E-2</v>
      </c>
      <c r="L136" s="6">
        <v>2.3277408999999999E-2</v>
      </c>
      <c r="M136" s="6">
        <v>1.2740721999999999E-2</v>
      </c>
    </row>
    <row r="137" spans="1:13" x14ac:dyDescent="0.25">
      <c r="A137" s="1" t="s">
        <v>290</v>
      </c>
      <c r="B137" s="2">
        <v>1.0787583E-2</v>
      </c>
      <c r="C137" s="1">
        <v>3.1974609000000001E-2</v>
      </c>
      <c r="D137" s="2">
        <v>0.11027843900000001</v>
      </c>
      <c r="E137" s="1">
        <v>3.2070596999999999E-2</v>
      </c>
      <c r="F137" s="1">
        <v>0.11865419100000001</v>
      </c>
      <c r="G137" s="1">
        <v>0.11355201400000001</v>
      </c>
      <c r="H137" s="2">
        <f t="shared" si="2"/>
        <v>0.26427680200000003</v>
      </c>
      <c r="I137" s="6">
        <v>3.7107665999999997E-2</v>
      </c>
      <c r="J137" s="6">
        <v>9.3501021000000004E-2</v>
      </c>
      <c r="K137" s="6">
        <v>2.6570736000000001E-2</v>
      </c>
      <c r="L137" s="6">
        <v>1.4896229E-2</v>
      </c>
      <c r="M137" s="6">
        <v>1.4491664E-2</v>
      </c>
    </row>
    <row r="138" spans="1:13" x14ac:dyDescent="0.25">
      <c r="A138" s="1" t="s">
        <v>70</v>
      </c>
      <c r="B138" s="2">
        <v>4.0702760000000003E-3</v>
      </c>
      <c r="C138" s="1">
        <v>6.5196538999999998E-2</v>
      </c>
      <c r="D138" s="2">
        <v>2.7480350000000001E-2</v>
      </c>
      <c r="E138" s="1">
        <v>7.1703879999999998E-2</v>
      </c>
      <c r="F138" s="1">
        <v>0.24995019600000001</v>
      </c>
      <c r="G138" s="1">
        <v>0.121087451</v>
      </c>
      <c r="H138" s="2">
        <f t="shared" si="2"/>
        <v>0.44274152700000002</v>
      </c>
      <c r="I138" s="6">
        <v>4.0561489999999999E-2</v>
      </c>
      <c r="J138" s="6">
        <v>4.3676381E-2</v>
      </c>
      <c r="K138" s="6">
        <v>1.8605964999999999E-2</v>
      </c>
      <c r="L138" s="6">
        <v>3.2845774000000001E-2</v>
      </c>
      <c r="M138" s="6">
        <v>9.7184620000000006E-3</v>
      </c>
    </row>
    <row r="139" spans="1:13" x14ac:dyDescent="0.25">
      <c r="A139" s="1" t="s">
        <v>71</v>
      </c>
      <c r="B139" s="2">
        <v>0</v>
      </c>
      <c r="C139" s="1">
        <v>6.8583291000000005E-2</v>
      </c>
      <c r="D139" s="2">
        <v>6.2372359000000002E-2</v>
      </c>
      <c r="E139" s="1">
        <v>4.7913305000000003E-2</v>
      </c>
      <c r="F139" s="1">
        <v>0.199167765</v>
      </c>
      <c r="G139" s="1">
        <v>0.103440781</v>
      </c>
      <c r="H139" s="2">
        <f t="shared" si="2"/>
        <v>0.350521851</v>
      </c>
      <c r="I139" s="6">
        <v>5.0455635999999998E-2</v>
      </c>
      <c r="J139" s="6">
        <v>6.8630467000000001E-2</v>
      </c>
      <c r="K139" s="6">
        <v>2.6793416E-2</v>
      </c>
      <c r="L139" s="6">
        <v>2.6081790000000001E-2</v>
      </c>
      <c r="M139" s="6">
        <v>6.3252350000000002E-3</v>
      </c>
    </row>
    <row r="140" spans="1:13" x14ac:dyDescent="0.25">
      <c r="A140" s="1" t="s">
        <v>291</v>
      </c>
      <c r="B140" s="2">
        <v>0</v>
      </c>
      <c r="C140" s="1">
        <v>5.8689233E-2</v>
      </c>
      <c r="D140" s="2">
        <v>9.8126425000000003E-2</v>
      </c>
      <c r="E140" s="1">
        <v>3.9560132999999997E-2</v>
      </c>
      <c r="F140" s="1">
        <v>0.13852911900000001</v>
      </c>
      <c r="G140" s="1">
        <v>0.10015806300000001</v>
      </c>
      <c r="H140" s="2">
        <f t="shared" si="2"/>
        <v>0.278247315</v>
      </c>
      <c r="I140" s="6">
        <v>3.7207261999999998E-2</v>
      </c>
      <c r="J140" s="6">
        <v>6.9853978999999997E-2</v>
      </c>
      <c r="K140" s="6">
        <v>4.7969426000000003E-2</v>
      </c>
      <c r="L140" s="6">
        <v>3.2820770999999999E-2</v>
      </c>
      <c r="M140" s="6">
        <v>4.42285E-4</v>
      </c>
    </row>
    <row r="141" spans="1:13" x14ac:dyDescent="0.25">
      <c r="A141" s="1" t="s">
        <v>72</v>
      </c>
      <c r="B141" s="2">
        <v>3.5315059999999998E-3</v>
      </c>
      <c r="C141" s="1">
        <v>4.8281043000000003E-2</v>
      </c>
      <c r="D141" s="2">
        <v>5.4398947000000003E-2</v>
      </c>
      <c r="E141" s="1">
        <v>7.6271896000000006E-2</v>
      </c>
      <c r="F141" s="1">
        <v>0.18707526499999999</v>
      </c>
      <c r="G141" s="1">
        <v>7.5182869999999999E-2</v>
      </c>
      <c r="H141" s="2">
        <f t="shared" si="2"/>
        <v>0.33853003100000001</v>
      </c>
      <c r="I141" s="6">
        <v>3.3334293000000001E-2</v>
      </c>
      <c r="J141" s="6">
        <v>4.7612646000000002E-2</v>
      </c>
      <c r="K141" s="6">
        <v>2.6427096000000001E-2</v>
      </c>
      <c r="L141" s="6">
        <v>6.5557460000000003E-3</v>
      </c>
      <c r="M141" s="6">
        <v>1.9051998000000001E-2</v>
      </c>
    </row>
    <row r="142" spans="1:13" x14ac:dyDescent="0.25">
      <c r="A142" s="1" t="s">
        <v>73</v>
      </c>
      <c r="B142" s="2">
        <v>4.3375050000000002E-3</v>
      </c>
      <c r="C142" s="1">
        <v>3.5184896E-2</v>
      </c>
      <c r="D142" s="2">
        <v>4.2393426999999997E-2</v>
      </c>
      <c r="E142" s="1">
        <v>7.5283555000000002E-2</v>
      </c>
      <c r="F142" s="1">
        <v>0.187463723</v>
      </c>
      <c r="G142" s="1">
        <v>9.5025084999999995E-2</v>
      </c>
      <c r="H142" s="2">
        <f t="shared" si="2"/>
        <v>0.35777236299999998</v>
      </c>
      <c r="I142" s="6">
        <v>3.5277027000000002E-2</v>
      </c>
      <c r="J142" s="6">
        <v>0.112184676</v>
      </c>
      <c r="K142" s="6">
        <v>3.2819754E-2</v>
      </c>
      <c r="L142" s="6">
        <v>7.6430600000000001E-3</v>
      </c>
      <c r="M142" s="6">
        <v>2.4582913000000001E-2</v>
      </c>
    </row>
    <row r="143" spans="1:13" x14ac:dyDescent="0.25">
      <c r="A143" s="1" t="s">
        <v>74</v>
      </c>
      <c r="B143" s="2">
        <v>0</v>
      </c>
      <c r="C143" s="1">
        <v>4.5482913E-2</v>
      </c>
      <c r="D143" s="2">
        <v>7.4641471000000001E-2</v>
      </c>
      <c r="E143" s="1">
        <v>6.0458155E-2</v>
      </c>
      <c r="F143" s="1">
        <v>9.8582759000000006E-2</v>
      </c>
      <c r="G143" s="1">
        <v>0.11666857899999999</v>
      </c>
      <c r="H143" s="2">
        <f t="shared" si="2"/>
        <v>0.27570949300000003</v>
      </c>
      <c r="I143" s="6">
        <v>3.8361893000000001E-2</v>
      </c>
      <c r="J143" s="6">
        <v>8.6293322000000006E-2</v>
      </c>
      <c r="K143" s="6">
        <v>3.1101387000000001E-2</v>
      </c>
      <c r="L143" s="6">
        <v>6.3095690000000001E-3</v>
      </c>
      <c r="M143" s="6">
        <v>1.2126774E-2</v>
      </c>
    </row>
    <row r="144" spans="1:13" x14ac:dyDescent="0.25">
      <c r="A144" s="1" t="s">
        <v>292</v>
      </c>
      <c r="B144" s="2">
        <v>2.2164985000000002E-2</v>
      </c>
      <c r="C144" s="1">
        <v>2.6594293000000001E-2</v>
      </c>
      <c r="D144" s="2">
        <v>0.104763813</v>
      </c>
      <c r="E144" s="1">
        <v>5.1078031000000003E-2</v>
      </c>
      <c r="F144" s="1">
        <v>0.11482236799999999</v>
      </c>
      <c r="G144" s="1">
        <v>0.11025362599999999</v>
      </c>
      <c r="H144" s="2">
        <f t="shared" si="2"/>
        <v>0.27615402499999997</v>
      </c>
      <c r="I144" s="6">
        <v>4.1447458E-2</v>
      </c>
      <c r="J144" s="6">
        <v>8.1700186999999994E-2</v>
      </c>
      <c r="K144" s="6">
        <v>2.7250182000000001E-2</v>
      </c>
      <c r="L144" s="6">
        <v>8.9246829999999992E-3</v>
      </c>
      <c r="M144" s="6">
        <v>2.3131326000000001E-2</v>
      </c>
    </row>
    <row r="145" spans="1:13" x14ac:dyDescent="0.25">
      <c r="A145" s="1" t="s">
        <v>75</v>
      </c>
      <c r="B145" s="2">
        <v>0</v>
      </c>
      <c r="C145" s="1">
        <v>5.4556950999999999E-2</v>
      </c>
      <c r="D145" s="2">
        <v>4.3745474999999999E-2</v>
      </c>
      <c r="E145" s="1">
        <v>6.2360015999999997E-2</v>
      </c>
      <c r="F145" s="1">
        <v>0.19351992200000001</v>
      </c>
      <c r="G145" s="1">
        <v>8.6597469999999996E-2</v>
      </c>
      <c r="H145" s="2">
        <f t="shared" si="2"/>
        <v>0.34247740800000004</v>
      </c>
      <c r="I145" s="6">
        <v>2.5741139E-2</v>
      </c>
      <c r="J145" s="6">
        <v>7.7563550999999994E-2</v>
      </c>
      <c r="K145" s="6">
        <v>3.6478556000000002E-2</v>
      </c>
      <c r="L145" s="6">
        <v>1.8026355000000001E-2</v>
      </c>
      <c r="M145" s="6">
        <v>0</v>
      </c>
    </row>
    <row r="146" spans="1:13" x14ac:dyDescent="0.25">
      <c r="A146" s="1" t="s">
        <v>293</v>
      </c>
      <c r="B146" s="2">
        <v>2.1926810000000001E-3</v>
      </c>
      <c r="C146" s="1">
        <v>5.2473134999999997E-2</v>
      </c>
      <c r="D146" s="2">
        <v>6.5613701999999996E-2</v>
      </c>
      <c r="E146" s="1">
        <v>6.4954442000000001E-2</v>
      </c>
      <c r="F146" s="1">
        <v>0.16323826399999999</v>
      </c>
      <c r="G146" s="1">
        <v>9.0147449000000004E-2</v>
      </c>
      <c r="H146" s="2">
        <f t="shared" si="2"/>
        <v>0.31834015500000001</v>
      </c>
      <c r="I146" s="6">
        <v>3.9445569E-2</v>
      </c>
      <c r="J146" s="6">
        <v>7.6462380999999996E-2</v>
      </c>
      <c r="K146" s="6">
        <v>2.1454831000000001E-2</v>
      </c>
      <c r="L146" s="6">
        <v>2.6157560999999999E-2</v>
      </c>
      <c r="M146" s="6">
        <v>9.5102510000000008E-3</v>
      </c>
    </row>
    <row r="147" spans="1:13" x14ac:dyDescent="0.25">
      <c r="A147" s="1" t="s">
        <v>76</v>
      </c>
      <c r="B147" s="2">
        <v>0</v>
      </c>
      <c r="C147" s="1">
        <v>7.4789429000000004E-2</v>
      </c>
      <c r="D147" s="2">
        <v>5.1210261999999999E-2</v>
      </c>
      <c r="E147" s="1">
        <v>5.6109062000000001E-2</v>
      </c>
      <c r="F147" s="1">
        <v>0.18490084800000001</v>
      </c>
      <c r="G147" s="1">
        <v>6.3070606000000001E-2</v>
      </c>
      <c r="H147" s="2">
        <f t="shared" si="2"/>
        <v>0.30408051599999997</v>
      </c>
      <c r="I147" s="6">
        <v>3.5612616999999999E-2</v>
      </c>
      <c r="J147" s="6">
        <v>0.11359193200000001</v>
      </c>
      <c r="K147" s="6">
        <v>7.6636339999999999E-3</v>
      </c>
      <c r="L147" s="6">
        <v>8.4938089999999997E-3</v>
      </c>
      <c r="M147" s="6">
        <v>9.8877199999999996E-4</v>
      </c>
    </row>
    <row r="148" spans="1:13" x14ac:dyDescent="0.25">
      <c r="A148" s="1" t="s">
        <v>294</v>
      </c>
      <c r="B148" s="2">
        <v>2.2596925E-2</v>
      </c>
      <c r="C148" s="1">
        <v>2.1222483E-2</v>
      </c>
      <c r="D148" s="2">
        <v>0.12319561900000001</v>
      </c>
      <c r="E148" s="1">
        <v>2.5742187999999999E-2</v>
      </c>
      <c r="F148" s="1">
        <v>0.15600882199999999</v>
      </c>
      <c r="G148" s="1">
        <v>0.11455960599999999</v>
      </c>
      <c r="H148" s="2">
        <f t="shared" si="2"/>
        <v>0.29631061599999997</v>
      </c>
      <c r="I148" s="6">
        <v>3.9553497999999999E-2</v>
      </c>
      <c r="J148" s="6">
        <v>7.5763933000000006E-2</v>
      </c>
      <c r="K148" s="6">
        <v>1.6883674000000001E-2</v>
      </c>
      <c r="L148" s="6">
        <v>2.0359008000000001E-2</v>
      </c>
      <c r="M148" s="6">
        <v>1.1213724E-2</v>
      </c>
    </row>
    <row r="149" spans="1:13" x14ac:dyDescent="0.25">
      <c r="A149" s="1" t="s">
        <v>295</v>
      </c>
      <c r="B149" s="2">
        <v>0</v>
      </c>
      <c r="C149" s="1">
        <v>7.3362394999999997E-2</v>
      </c>
      <c r="D149" s="2">
        <v>6.7962508000000005E-2</v>
      </c>
      <c r="E149" s="1">
        <v>5.9615441999999998E-2</v>
      </c>
      <c r="F149" s="1">
        <v>0.143746182</v>
      </c>
      <c r="G149" s="1">
        <v>8.5304850000000002E-2</v>
      </c>
      <c r="H149" s="2">
        <f t="shared" si="2"/>
        <v>0.28866647400000001</v>
      </c>
      <c r="I149" s="6">
        <v>2.8239872999999999E-2</v>
      </c>
      <c r="J149" s="6">
        <v>0.105147429</v>
      </c>
      <c r="K149" s="6">
        <v>2.4931045999999998E-2</v>
      </c>
      <c r="L149" s="6">
        <v>1.700401E-3</v>
      </c>
      <c r="M149" s="6">
        <v>2.1803191E-2</v>
      </c>
    </row>
    <row r="150" spans="1:13" x14ac:dyDescent="0.25">
      <c r="A150" s="1" t="s">
        <v>77</v>
      </c>
      <c r="B150" s="2">
        <v>0</v>
      </c>
      <c r="C150" s="1">
        <v>4.7312463999999999E-2</v>
      </c>
      <c r="D150" s="2">
        <v>7.4770877999999999E-2</v>
      </c>
      <c r="E150" s="1">
        <v>7.1176415000000007E-2</v>
      </c>
      <c r="F150" s="1">
        <v>0.210246661</v>
      </c>
      <c r="G150" s="1">
        <v>8.2068154000000004E-2</v>
      </c>
      <c r="H150" s="2">
        <f t="shared" si="2"/>
        <v>0.36349123</v>
      </c>
      <c r="I150" s="6">
        <v>2.6518185999999999E-2</v>
      </c>
      <c r="J150" s="6">
        <v>0.105899829</v>
      </c>
      <c r="K150" s="6">
        <v>4.1244278000000002E-2</v>
      </c>
      <c r="L150" s="6">
        <v>1.0135145E-2</v>
      </c>
      <c r="M150" s="6">
        <v>0</v>
      </c>
    </row>
    <row r="151" spans="1:13" x14ac:dyDescent="0.25">
      <c r="A151" s="1" t="s">
        <v>296</v>
      </c>
      <c r="B151" s="2">
        <v>3.5152968999999999E-2</v>
      </c>
      <c r="C151" s="1">
        <v>2.8761465E-2</v>
      </c>
      <c r="D151" s="2">
        <v>2.7571825000000001E-2</v>
      </c>
      <c r="E151" s="1">
        <v>4.8672436999999999E-2</v>
      </c>
      <c r="F151" s="1">
        <v>0.103508319</v>
      </c>
      <c r="G151" s="1">
        <v>0.14054465399999999</v>
      </c>
      <c r="H151" s="2">
        <f t="shared" si="2"/>
        <v>0.29272540999999996</v>
      </c>
      <c r="I151" s="6">
        <v>2.1932765999999999E-2</v>
      </c>
      <c r="J151" s="6">
        <v>9.9913289000000002E-2</v>
      </c>
      <c r="K151" s="6">
        <v>4.6635489000000002E-2</v>
      </c>
      <c r="L151" s="6">
        <v>1.482447E-3</v>
      </c>
      <c r="M151" s="6">
        <v>1.2609471000000001E-2</v>
      </c>
    </row>
    <row r="152" spans="1:13" x14ac:dyDescent="0.25">
      <c r="A152" s="1" t="s">
        <v>297</v>
      </c>
      <c r="B152" s="2">
        <v>2.029575E-3</v>
      </c>
      <c r="C152" s="1">
        <v>5.7387193000000003E-2</v>
      </c>
      <c r="D152" s="2">
        <v>7.8272897999999994E-2</v>
      </c>
      <c r="E152" s="1">
        <v>7.3153382000000003E-2</v>
      </c>
      <c r="F152" s="1">
        <v>0.14749909899999999</v>
      </c>
      <c r="G152" s="1">
        <v>9.2149095E-2</v>
      </c>
      <c r="H152" s="2">
        <f t="shared" si="2"/>
        <v>0.31280157600000003</v>
      </c>
      <c r="I152" s="6">
        <v>2.6939810000000002E-2</v>
      </c>
      <c r="J152" s="6">
        <v>9.4388869E-2</v>
      </c>
      <c r="K152" s="6">
        <v>2.4756357999999999E-2</v>
      </c>
      <c r="L152" s="6">
        <v>1.5494803E-2</v>
      </c>
      <c r="M152" s="6">
        <v>2.4201409999999998E-3</v>
      </c>
    </row>
    <row r="153" spans="1:13" x14ac:dyDescent="0.25">
      <c r="A153" s="1" t="s">
        <v>78</v>
      </c>
      <c r="B153" s="2">
        <v>7.2636829999999999E-3</v>
      </c>
      <c r="C153" s="1">
        <v>4.4058367000000001E-2</v>
      </c>
      <c r="D153" s="2">
        <v>7.6446721999999995E-2</v>
      </c>
      <c r="E153" s="1">
        <v>6.5541604000000003E-2</v>
      </c>
      <c r="F153" s="1">
        <v>0.159274638</v>
      </c>
      <c r="G153" s="1">
        <v>7.1756589999999995E-2</v>
      </c>
      <c r="H153" s="2">
        <f t="shared" si="2"/>
        <v>0.29657283200000001</v>
      </c>
      <c r="I153" s="6">
        <v>3.6714867999999998E-2</v>
      </c>
      <c r="J153" s="6">
        <v>0.10001937499999999</v>
      </c>
      <c r="K153" s="6">
        <v>3.3286982999999999E-2</v>
      </c>
      <c r="L153" s="6">
        <v>1.9618637000000001E-2</v>
      </c>
      <c r="M153" s="6">
        <v>1.3570229E-2</v>
      </c>
    </row>
    <row r="154" spans="1:13" x14ac:dyDescent="0.25">
      <c r="A154" s="1" t="s">
        <v>298</v>
      </c>
      <c r="B154" s="2">
        <v>1.2147137000000001E-2</v>
      </c>
      <c r="C154" s="1">
        <v>4.6442269000000001E-2</v>
      </c>
      <c r="D154" s="2">
        <v>7.2547150000000005E-2</v>
      </c>
      <c r="E154" s="1">
        <v>9.5972928999999998E-2</v>
      </c>
      <c r="F154" s="1">
        <v>0.17390557100000001</v>
      </c>
      <c r="G154" s="1">
        <v>8.5164606000000004E-2</v>
      </c>
      <c r="H154" s="2">
        <f t="shared" si="2"/>
        <v>0.355043106</v>
      </c>
      <c r="I154" s="6">
        <v>3.7406107000000001E-2</v>
      </c>
      <c r="J154" s="6">
        <v>3.0660997999999998E-2</v>
      </c>
      <c r="K154" s="6">
        <v>1.1989649999999999E-2</v>
      </c>
      <c r="L154" s="6">
        <v>4.2384379999999999E-2</v>
      </c>
      <c r="M154" s="6">
        <v>6.2728920000000004E-3</v>
      </c>
    </row>
    <row r="155" spans="1:13" x14ac:dyDescent="0.25">
      <c r="A155" s="1" t="s">
        <v>79</v>
      </c>
      <c r="B155" s="2">
        <v>8.5807430000000001E-3</v>
      </c>
      <c r="C155" s="1">
        <v>5.0831566000000002E-2</v>
      </c>
      <c r="D155" s="2">
        <v>8.8982490999999997E-2</v>
      </c>
      <c r="E155" s="1">
        <v>7.2328815000000005E-2</v>
      </c>
      <c r="F155" s="1">
        <v>0.15132567099999999</v>
      </c>
      <c r="G155" s="1">
        <v>9.3829577999999997E-2</v>
      </c>
      <c r="H155" s="2">
        <f t="shared" si="2"/>
        <v>0.31748406399999995</v>
      </c>
      <c r="I155" s="6">
        <v>4.0443835999999997E-2</v>
      </c>
      <c r="J155" s="6">
        <v>7.1636484E-2</v>
      </c>
      <c r="K155" s="6">
        <v>3.0160328E-2</v>
      </c>
      <c r="L155" s="6">
        <v>2.8401869E-2</v>
      </c>
      <c r="M155" s="6">
        <v>1.0628729E-2</v>
      </c>
    </row>
    <row r="156" spans="1:13" x14ac:dyDescent="0.25">
      <c r="A156" s="1" t="s">
        <v>299</v>
      </c>
      <c r="B156" s="2">
        <v>0</v>
      </c>
      <c r="C156" s="1">
        <v>5.2649591000000003E-2</v>
      </c>
      <c r="D156" s="2">
        <v>5.9550761000000001E-2</v>
      </c>
      <c r="E156" s="1">
        <v>8.2334155000000006E-2</v>
      </c>
      <c r="F156" s="1">
        <v>0.16398437099999999</v>
      </c>
      <c r="G156" s="1">
        <v>9.6320332999999994E-2</v>
      </c>
      <c r="H156" s="2">
        <f t="shared" si="2"/>
        <v>0.34263885899999996</v>
      </c>
      <c r="I156" s="6">
        <v>2.9220533E-2</v>
      </c>
      <c r="J156" s="6">
        <v>8.2983628000000004E-2</v>
      </c>
      <c r="K156" s="6">
        <v>9.9305009999999996E-3</v>
      </c>
      <c r="L156" s="6">
        <v>1.9823361000000001E-2</v>
      </c>
      <c r="M156" s="6">
        <v>1.9628396999999999E-2</v>
      </c>
    </row>
    <row r="157" spans="1:13" x14ac:dyDescent="0.25">
      <c r="A157" s="1" t="s">
        <v>80</v>
      </c>
      <c r="B157" s="2">
        <v>0</v>
      </c>
      <c r="C157" s="1">
        <v>7.2354373E-2</v>
      </c>
      <c r="D157" s="2">
        <v>5.8774370999999999E-2</v>
      </c>
      <c r="E157" s="1">
        <v>5.0854115999999998E-2</v>
      </c>
      <c r="F157" s="1">
        <v>0.194796363</v>
      </c>
      <c r="G157" s="1">
        <v>9.7239927000000004E-2</v>
      </c>
      <c r="H157" s="2">
        <f t="shared" si="2"/>
        <v>0.34289040599999998</v>
      </c>
      <c r="I157" s="6">
        <v>3.1942334000000003E-2</v>
      </c>
      <c r="J157" s="6">
        <v>9.2334439000000004E-2</v>
      </c>
      <c r="K157" s="6">
        <v>1.1878839E-2</v>
      </c>
      <c r="L157" s="6">
        <v>2.2574882000000001E-2</v>
      </c>
      <c r="M157" s="6">
        <v>7.3342529999999998E-3</v>
      </c>
    </row>
    <row r="158" spans="1:13" x14ac:dyDescent="0.25">
      <c r="A158" s="1" t="s">
        <v>300</v>
      </c>
      <c r="B158" s="2">
        <v>0</v>
      </c>
      <c r="C158" s="1">
        <v>3.6165021999999998E-2</v>
      </c>
      <c r="D158" s="2">
        <v>8.9176923000000005E-2</v>
      </c>
      <c r="E158" s="1">
        <v>7.2604042999999993E-2</v>
      </c>
      <c r="F158" s="1">
        <v>0.13943443899999999</v>
      </c>
      <c r="G158" s="1">
        <v>0.10405640300000001</v>
      </c>
      <c r="H158" s="2">
        <f t="shared" si="2"/>
        <v>0.31609488499999999</v>
      </c>
      <c r="I158" s="6">
        <v>2.5165170000000001E-2</v>
      </c>
      <c r="J158" s="6">
        <v>0.100800982</v>
      </c>
      <c r="K158" s="6">
        <v>3.0630804000000001E-2</v>
      </c>
      <c r="L158" s="6">
        <v>1.5857960000000001E-2</v>
      </c>
      <c r="M158" s="6">
        <v>1.2983418E-2</v>
      </c>
    </row>
    <row r="159" spans="1:13" x14ac:dyDescent="0.25">
      <c r="A159" s="1" t="s">
        <v>301</v>
      </c>
      <c r="B159" s="2">
        <v>1.5561029000000001E-2</v>
      </c>
      <c r="C159" s="1">
        <v>3.8352984999999999E-2</v>
      </c>
      <c r="D159" s="2">
        <v>4.1074140000000002E-2</v>
      </c>
      <c r="E159" s="1">
        <v>3.5466958E-2</v>
      </c>
      <c r="F159" s="1">
        <v>0.184054367</v>
      </c>
      <c r="G159" s="1">
        <v>0.123108809</v>
      </c>
      <c r="H159" s="2">
        <f t="shared" si="2"/>
        <v>0.34263013399999998</v>
      </c>
      <c r="I159" s="6">
        <v>5.1666557000000002E-2</v>
      </c>
      <c r="J159" s="6">
        <v>6.1304387000000002E-2</v>
      </c>
      <c r="K159" s="6">
        <v>1.2933195E-2</v>
      </c>
      <c r="L159" s="6">
        <v>2.0933067999999999E-2</v>
      </c>
      <c r="M159" s="6">
        <v>8.7904980000000008E-3</v>
      </c>
    </row>
    <row r="160" spans="1:13" x14ac:dyDescent="0.25">
      <c r="A160" s="1" t="s">
        <v>81</v>
      </c>
      <c r="B160" s="2">
        <v>0</v>
      </c>
      <c r="C160" s="1">
        <v>5.3956377999999999E-2</v>
      </c>
      <c r="D160" s="2">
        <v>4.1988154999999999E-2</v>
      </c>
      <c r="E160" s="1">
        <v>7.0758867000000003E-2</v>
      </c>
      <c r="F160" s="1">
        <v>0.16723159000000001</v>
      </c>
      <c r="G160" s="1">
        <v>0.110006613</v>
      </c>
      <c r="H160" s="2">
        <f t="shared" si="2"/>
        <v>0.34799707000000002</v>
      </c>
      <c r="I160" s="6">
        <v>3.9765951000000001E-2</v>
      </c>
      <c r="J160" s="6">
        <v>7.5782426E-2</v>
      </c>
      <c r="K160" s="6">
        <v>2.4739364E-2</v>
      </c>
      <c r="L160" s="6">
        <v>2.4169287000000001E-2</v>
      </c>
      <c r="M160" s="6">
        <v>1.9530313000000001E-2</v>
      </c>
    </row>
    <row r="161" spans="1:13" x14ac:dyDescent="0.25">
      <c r="A161" s="1" t="s">
        <v>302</v>
      </c>
      <c r="B161" s="2">
        <v>2.7645669999999999E-3</v>
      </c>
      <c r="C161" s="1">
        <v>4.8139098999999998E-2</v>
      </c>
      <c r="D161" s="2">
        <v>7.0510201999999994E-2</v>
      </c>
      <c r="E161" s="1">
        <v>6.0337267E-2</v>
      </c>
      <c r="F161" s="1">
        <v>0.15012795300000001</v>
      </c>
      <c r="G161" s="1">
        <v>0.101269043</v>
      </c>
      <c r="H161" s="2">
        <f t="shared" si="2"/>
        <v>0.31173426300000001</v>
      </c>
      <c r="I161" s="6">
        <v>2.6954862999999999E-2</v>
      </c>
      <c r="J161" s="6">
        <v>9.3466397000000007E-2</v>
      </c>
      <c r="K161" s="6">
        <v>4.2400092E-2</v>
      </c>
      <c r="L161" s="6">
        <v>1.3652460999999999E-2</v>
      </c>
      <c r="M161" s="6">
        <v>1.3252262000000001E-2</v>
      </c>
    </row>
    <row r="162" spans="1:13" x14ac:dyDescent="0.25">
      <c r="A162" s="1" t="s">
        <v>82</v>
      </c>
      <c r="B162" s="2">
        <v>0</v>
      </c>
      <c r="C162" s="1">
        <v>3.6996897000000001E-2</v>
      </c>
      <c r="D162" s="2">
        <v>6.3569939000000006E-2</v>
      </c>
      <c r="E162" s="1">
        <v>8.5385449000000002E-2</v>
      </c>
      <c r="F162" s="1">
        <v>0.14642923399999999</v>
      </c>
      <c r="G162" s="1">
        <v>9.6300992000000002E-2</v>
      </c>
      <c r="H162" s="2">
        <f t="shared" si="2"/>
        <v>0.328115675</v>
      </c>
      <c r="I162" s="6">
        <v>3.2309854999999998E-2</v>
      </c>
      <c r="J162" s="6">
        <v>8.9856052000000006E-2</v>
      </c>
      <c r="K162" s="6">
        <v>3.4903915000000001E-2</v>
      </c>
      <c r="L162" s="6">
        <v>2.5966253000000002E-2</v>
      </c>
      <c r="M162" s="6">
        <v>1.8717068999999999E-2</v>
      </c>
    </row>
    <row r="163" spans="1:13" x14ac:dyDescent="0.25">
      <c r="A163" s="1" t="s">
        <v>83</v>
      </c>
      <c r="B163" s="2">
        <v>5.0834950000000004E-3</v>
      </c>
      <c r="C163" s="1">
        <v>3.9612733999999997E-2</v>
      </c>
      <c r="D163" s="2">
        <v>2.6387429E-2</v>
      </c>
      <c r="E163" s="1">
        <v>9.1796179000000006E-2</v>
      </c>
      <c r="F163" s="1">
        <v>0.19021996999999999</v>
      </c>
      <c r="G163" s="1">
        <v>8.5191693999999998E-2</v>
      </c>
      <c r="H163" s="2">
        <f t="shared" si="2"/>
        <v>0.36720784299999998</v>
      </c>
      <c r="I163" s="6">
        <v>3.1205238E-2</v>
      </c>
      <c r="J163" s="6">
        <v>7.0325506999999995E-2</v>
      </c>
      <c r="K163" s="6">
        <v>3.1368962E-2</v>
      </c>
      <c r="L163" s="6">
        <v>4.2707878999999997E-2</v>
      </c>
      <c r="M163" s="6">
        <v>9.2311930000000004E-3</v>
      </c>
    </row>
    <row r="164" spans="1:13" x14ac:dyDescent="0.25">
      <c r="A164" s="1" t="s">
        <v>303</v>
      </c>
      <c r="B164" s="2">
        <v>6.2146060000000001E-3</v>
      </c>
      <c r="C164" s="1">
        <v>4.1647111000000001E-2</v>
      </c>
      <c r="D164" s="2">
        <v>7.2540440999999997E-2</v>
      </c>
      <c r="E164" s="1">
        <v>5.6817430000000002E-2</v>
      </c>
      <c r="F164" s="1">
        <v>0.15788845300000001</v>
      </c>
      <c r="G164" s="1">
        <v>0.105694629</v>
      </c>
      <c r="H164" s="2">
        <f t="shared" si="2"/>
        <v>0.32040051200000003</v>
      </c>
      <c r="I164" s="6">
        <v>3.7072767E-2</v>
      </c>
      <c r="J164" s="6">
        <v>7.6224688999999998E-2</v>
      </c>
      <c r="K164" s="6">
        <v>2.2206986000000001E-2</v>
      </c>
      <c r="L164" s="6">
        <v>2.0659273999999998E-2</v>
      </c>
      <c r="M164" s="6">
        <v>7.287834E-3</v>
      </c>
    </row>
    <row r="165" spans="1:13" x14ac:dyDescent="0.25">
      <c r="A165" s="1" t="s">
        <v>304</v>
      </c>
      <c r="B165" s="2">
        <v>5.4310299999999999E-3</v>
      </c>
      <c r="C165" s="1">
        <v>6.1979646999999999E-2</v>
      </c>
      <c r="D165" s="2">
        <v>0.13006273700000001</v>
      </c>
      <c r="E165" s="1">
        <v>6.9726142000000005E-2</v>
      </c>
      <c r="F165" s="1">
        <v>0.14970090599999999</v>
      </c>
      <c r="G165" s="1">
        <v>0.115004168</v>
      </c>
      <c r="H165" s="2">
        <f t="shared" si="2"/>
        <v>0.33443121600000003</v>
      </c>
      <c r="I165" s="6">
        <v>2.9743445E-2</v>
      </c>
      <c r="J165" s="6">
        <v>7.9316320999999995E-2</v>
      </c>
      <c r="K165" s="6">
        <v>2.2716607999999999E-2</v>
      </c>
      <c r="L165" s="6">
        <v>0</v>
      </c>
      <c r="M165" s="6">
        <v>1.0103600000000001E-2</v>
      </c>
    </row>
    <row r="166" spans="1:13" x14ac:dyDescent="0.25">
      <c r="A166" s="1" t="s">
        <v>84</v>
      </c>
      <c r="B166" s="2">
        <v>2.916886E-3</v>
      </c>
      <c r="C166" s="1">
        <v>6.3490576000000007E-2</v>
      </c>
      <c r="D166" s="2">
        <v>7.2832981000000005E-2</v>
      </c>
      <c r="E166" s="1">
        <v>6.9048769999999995E-2</v>
      </c>
      <c r="F166" s="1">
        <v>0.18612769600000001</v>
      </c>
      <c r="G166" s="1">
        <v>9.5089253999999998E-2</v>
      </c>
      <c r="H166" s="2">
        <f t="shared" si="2"/>
        <v>0.35026572</v>
      </c>
      <c r="I166" s="6">
        <v>4.1945146000000003E-2</v>
      </c>
      <c r="J166" s="6">
        <v>7.6164744000000006E-2</v>
      </c>
      <c r="K166" s="6">
        <v>3.060657E-2</v>
      </c>
      <c r="L166" s="6">
        <v>1.6261551999999999E-2</v>
      </c>
      <c r="M166" s="6">
        <v>1.6729878E-2</v>
      </c>
    </row>
    <row r="167" spans="1:13" x14ac:dyDescent="0.25">
      <c r="A167" s="1" t="s">
        <v>85</v>
      </c>
      <c r="B167" s="2">
        <v>1.6083763000000001E-2</v>
      </c>
      <c r="C167" s="1">
        <v>4.3708194999999998E-2</v>
      </c>
      <c r="D167" s="2">
        <v>7.4402837999999999E-2</v>
      </c>
      <c r="E167" s="1">
        <v>4.5567312999999998E-2</v>
      </c>
      <c r="F167" s="1">
        <v>0.188422231</v>
      </c>
      <c r="G167" s="1">
        <v>9.1276510000000005E-2</v>
      </c>
      <c r="H167" s="2">
        <f t="shared" si="2"/>
        <v>0.32526605399999997</v>
      </c>
      <c r="I167" s="6">
        <v>3.3298874999999999E-2</v>
      </c>
      <c r="J167" s="6">
        <v>7.5197983999999995E-2</v>
      </c>
      <c r="K167" s="6">
        <v>1.8665362000000001E-2</v>
      </c>
      <c r="L167" s="6">
        <v>1.6464016000000001E-2</v>
      </c>
      <c r="M167" s="6">
        <v>5.9047470000000001E-3</v>
      </c>
    </row>
    <row r="168" spans="1:13" x14ac:dyDescent="0.25">
      <c r="A168" s="1" t="s">
        <v>305</v>
      </c>
      <c r="B168" s="2">
        <v>0</v>
      </c>
      <c r="C168" s="1">
        <v>4.7646785999999997E-2</v>
      </c>
      <c r="D168" s="2">
        <v>6.2601614E-2</v>
      </c>
      <c r="E168" s="1">
        <v>7.2878203000000003E-2</v>
      </c>
      <c r="F168" s="1">
        <v>0.16402318199999999</v>
      </c>
      <c r="G168" s="1">
        <v>8.8179296000000004E-2</v>
      </c>
      <c r="H168" s="2">
        <f t="shared" si="2"/>
        <v>0.32508068099999998</v>
      </c>
      <c r="I168" s="6">
        <v>3.4094867000000001E-2</v>
      </c>
      <c r="J168" s="6">
        <v>8.0469173000000005E-2</v>
      </c>
      <c r="K168" s="6">
        <v>2.5136089E-2</v>
      </c>
      <c r="L168" s="6">
        <v>1.1182404E-2</v>
      </c>
      <c r="M168" s="6">
        <v>1.1681786E-2</v>
      </c>
    </row>
    <row r="169" spans="1:13" x14ac:dyDescent="0.25">
      <c r="A169" s="1" t="s">
        <v>306</v>
      </c>
      <c r="B169" s="2">
        <v>2.6271362999999999E-2</v>
      </c>
      <c r="C169" s="1">
        <v>2.3143848000000002E-2</v>
      </c>
      <c r="D169" s="2">
        <v>0.13537876900000001</v>
      </c>
      <c r="E169" s="1">
        <v>9.6491136000000005E-2</v>
      </c>
      <c r="F169" s="1">
        <v>0.11575781</v>
      </c>
      <c r="G169" s="1">
        <v>0.113158839</v>
      </c>
      <c r="H169" s="2">
        <f t="shared" si="2"/>
        <v>0.325407785</v>
      </c>
      <c r="I169" s="6">
        <v>4.3849945000000001E-2</v>
      </c>
      <c r="J169" s="6">
        <v>5.5365770000000002E-2</v>
      </c>
      <c r="K169" s="6">
        <v>1.4630300000000001E-2</v>
      </c>
      <c r="L169" s="6">
        <v>3.3047417000000003E-2</v>
      </c>
      <c r="M169" s="6">
        <v>0</v>
      </c>
    </row>
    <row r="170" spans="1:13" x14ac:dyDescent="0.25">
      <c r="A170" s="1" t="s">
        <v>307</v>
      </c>
      <c r="B170" s="2">
        <v>0</v>
      </c>
      <c r="C170" s="1">
        <v>6.6086669000000001E-2</v>
      </c>
      <c r="D170" s="2">
        <v>9.6510512000000007E-2</v>
      </c>
      <c r="E170" s="1">
        <v>3.7175094999999998E-2</v>
      </c>
      <c r="F170" s="1">
        <v>0.157305949</v>
      </c>
      <c r="G170" s="1">
        <v>0.119308794</v>
      </c>
      <c r="H170" s="2">
        <f t="shared" si="2"/>
        <v>0.31378983799999999</v>
      </c>
      <c r="I170" s="6">
        <v>3.4408559999999998E-2</v>
      </c>
      <c r="J170" s="6">
        <v>7.6081545E-2</v>
      </c>
      <c r="K170" s="6">
        <v>2.2623658000000001E-2</v>
      </c>
      <c r="L170" s="6">
        <v>1.7293190999999999E-2</v>
      </c>
      <c r="M170" s="6">
        <v>1.3468300000000001E-2</v>
      </c>
    </row>
    <row r="171" spans="1:13" x14ac:dyDescent="0.25">
      <c r="A171" s="1" t="s">
        <v>308</v>
      </c>
      <c r="B171" s="2">
        <v>0</v>
      </c>
      <c r="C171" s="1">
        <v>6.8651529000000003E-2</v>
      </c>
      <c r="D171" s="2">
        <v>4.2808143E-2</v>
      </c>
      <c r="E171" s="1">
        <v>7.5243479000000002E-2</v>
      </c>
      <c r="F171" s="1">
        <v>0.205817469</v>
      </c>
      <c r="G171" s="1">
        <v>0.10233285</v>
      </c>
      <c r="H171" s="2">
        <f t="shared" si="2"/>
        <v>0.38339379800000006</v>
      </c>
      <c r="I171" s="6">
        <v>3.8059183000000003E-2</v>
      </c>
      <c r="J171" s="6">
        <v>5.1312436000000003E-2</v>
      </c>
      <c r="K171" s="6">
        <v>3.6419777E-2</v>
      </c>
      <c r="L171" s="6">
        <v>2.5312353999999999E-2</v>
      </c>
      <c r="M171" s="6">
        <v>2.5283934000000001E-2</v>
      </c>
    </row>
    <row r="172" spans="1:13" x14ac:dyDescent="0.25">
      <c r="A172" s="1" t="s">
        <v>309</v>
      </c>
      <c r="B172" s="2">
        <v>2.9222799000000001E-2</v>
      </c>
      <c r="C172" s="1">
        <v>3.1591762000000002E-2</v>
      </c>
      <c r="D172" s="2">
        <v>8.3395210999999997E-2</v>
      </c>
      <c r="E172" s="1">
        <v>9.9244984999999994E-2</v>
      </c>
      <c r="F172" s="1">
        <v>0.13015489799999999</v>
      </c>
      <c r="G172" s="1">
        <v>0.10690588299999999</v>
      </c>
      <c r="H172" s="2">
        <f t="shared" si="2"/>
        <v>0.33630576599999995</v>
      </c>
      <c r="I172" s="6">
        <v>4.0102189000000003E-2</v>
      </c>
      <c r="J172" s="6">
        <v>6.6139536999999998E-2</v>
      </c>
      <c r="K172" s="6">
        <v>1.4609538E-2</v>
      </c>
      <c r="L172" s="6">
        <v>2.6044358E-2</v>
      </c>
      <c r="M172" s="6">
        <v>7.9877860000000002E-3</v>
      </c>
    </row>
    <row r="173" spans="1:13" x14ac:dyDescent="0.25">
      <c r="A173" s="1" t="s">
        <v>310</v>
      </c>
      <c r="B173" s="2">
        <v>1.0712361E-2</v>
      </c>
      <c r="C173" s="1">
        <v>6.0854610000000003E-2</v>
      </c>
      <c r="D173" s="2">
        <v>9.1867957E-2</v>
      </c>
      <c r="E173" s="1">
        <v>5.8511523000000003E-2</v>
      </c>
      <c r="F173" s="1">
        <v>0.159814866</v>
      </c>
      <c r="G173" s="1">
        <v>0.104162932</v>
      </c>
      <c r="H173" s="2">
        <f t="shared" si="2"/>
        <v>0.322489321</v>
      </c>
      <c r="I173" s="6">
        <v>4.1631611999999998E-2</v>
      </c>
      <c r="J173" s="6">
        <v>5.9118032000000001E-2</v>
      </c>
      <c r="K173" s="6">
        <v>3.9807844000000002E-2</v>
      </c>
      <c r="L173" s="6">
        <v>2.8751223999999999E-2</v>
      </c>
      <c r="M173" s="6">
        <v>3.0886164000000001E-2</v>
      </c>
    </row>
    <row r="174" spans="1:13" x14ac:dyDescent="0.25">
      <c r="A174" s="1" t="s">
        <v>86</v>
      </c>
      <c r="B174" s="2">
        <v>0</v>
      </c>
      <c r="C174" s="1">
        <v>4.9908532999999998E-2</v>
      </c>
      <c r="D174" s="2">
        <v>5.1946872999999998E-2</v>
      </c>
      <c r="E174" s="1">
        <v>8.8856527000000005E-2</v>
      </c>
      <c r="F174" s="1">
        <v>0.21351113699999999</v>
      </c>
      <c r="G174" s="1">
        <v>8.3141081000000006E-2</v>
      </c>
      <c r="H174" s="2">
        <f t="shared" si="2"/>
        <v>0.38550874499999999</v>
      </c>
      <c r="I174" s="6">
        <v>2.5187164000000001E-2</v>
      </c>
      <c r="J174" s="6">
        <v>7.0846659000000006E-2</v>
      </c>
      <c r="K174" s="6">
        <v>1.4184205E-2</v>
      </c>
      <c r="L174" s="6">
        <v>1.9699554000000001E-2</v>
      </c>
      <c r="M174" s="6">
        <v>5.8908110000000001E-3</v>
      </c>
    </row>
    <row r="175" spans="1:13" x14ac:dyDescent="0.25">
      <c r="A175" s="1" t="s">
        <v>311</v>
      </c>
      <c r="B175" s="2">
        <v>1.8403557000000001E-2</v>
      </c>
      <c r="C175" s="1">
        <v>2.1097509E-2</v>
      </c>
      <c r="D175" s="2">
        <v>7.8716082000000007E-2</v>
      </c>
      <c r="E175" s="1">
        <v>8.7236346000000006E-2</v>
      </c>
      <c r="F175" s="1">
        <v>0.15194080400000001</v>
      </c>
      <c r="G175" s="1">
        <v>0.107649149</v>
      </c>
      <c r="H175" s="2">
        <f t="shared" si="2"/>
        <v>0.346826299</v>
      </c>
      <c r="I175" s="6">
        <v>3.774889E-2</v>
      </c>
      <c r="J175" s="6">
        <v>5.2451861000000002E-2</v>
      </c>
      <c r="K175" s="6">
        <v>1.9183810999999999E-2</v>
      </c>
      <c r="L175" s="6">
        <v>7.49149E-3</v>
      </c>
      <c r="M175" s="6">
        <v>0</v>
      </c>
    </row>
    <row r="176" spans="1:13" x14ac:dyDescent="0.25">
      <c r="A176" s="1" t="s">
        <v>312</v>
      </c>
      <c r="B176" s="2">
        <v>0</v>
      </c>
      <c r="C176" s="1">
        <v>3.9332616000000001E-2</v>
      </c>
      <c r="D176" s="2">
        <v>4.9281670999999999E-2</v>
      </c>
      <c r="E176" s="1">
        <v>0.115481207</v>
      </c>
      <c r="F176" s="1">
        <v>0.144453891</v>
      </c>
      <c r="G176" s="1">
        <v>0.11927782000000001</v>
      </c>
      <c r="H176" s="2">
        <f t="shared" si="2"/>
        <v>0.37921291800000001</v>
      </c>
      <c r="I176" s="6">
        <v>2.9226057999999999E-2</v>
      </c>
      <c r="J176" s="6">
        <v>0.11407468799999999</v>
      </c>
      <c r="K176" s="6">
        <v>1.2451999E-2</v>
      </c>
      <c r="L176" s="6">
        <v>1.9344281000000001E-2</v>
      </c>
      <c r="M176" s="6">
        <v>1.3907541000000001E-2</v>
      </c>
    </row>
    <row r="177" spans="1:13" x14ac:dyDescent="0.25">
      <c r="A177" s="1" t="s">
        <v>87</v>
      </c>
      <c r="B177" s="2">
        <v>0</v>
      </c>
      <c r="C177" s="1">
        <v>6.6767706999999996E-2</v>
      </c>
      <c r="D177" s="2">
        <v>1.7349624000000001E-2</v>
      </c>
      <c r="E177" s="1">
        <v>7.8145140000000002E-2</v>
      </c>
      <c r="F177" s="1">
        <v>0.18132410700000001</v>
      </c>
      <c r="G177" s="1">
        <v>8.281724E-2</v>
      </c>
      <c r="H177" s="2">
        <f t="shared" si="2"/>
        <v>0.34228648700000003</v>
      </c>
      <c r="I177" s="6">
        <v>4.1982499999999999E-2</v>
      </c>
      <c r="J177" s="6">
        <v>9.2600196999999995E-2</v>
      </c>
      <c r="K177" s="6">
        <v>2.6600527999999998E-2</v>
      </c>
      <c r="L177" s="6">
        <v>2.9869251999999999E-2</v>
      </c>
      <c r="M177" s="6">
        <v>2.2258267000000002E-2</v>
      </c>
    </row>
    <row r="178" spans="1:13" x14ac:dyDescent="0.25">
      <c r="A178" s="1" t="s">
        <v>88</v>
      </c>
      <c r="B178" s="2">
        <v>0</v>
      </c>
      <c r="C178" s="1">
        <v>6.1246935000000002E-2</v>
      </c>
      <c r="D178" s="2">
        <v>6.3749119000000007E-2</v>
      </c>
      <c r="E178" s="1">
        <v>6.4177414000000002E-2</v>
      </c>
      <c r="F178" s="1">
        <v>0.171397302</v>
      </c>
      <c r="G178" s="1">
        <v>0.114885001</v>
      </c>
      <c r="H178" s="2">
        <f t="shared" si="2"/>
        <v>0.350459717</v>
      </c>
      <c r="I178" s="6">
        <v>4.4961849999999998E-2</v>
      </c>
      <c r="J178" s="6">
        <v>7.5659984E-2</v>
      </c>
      <c r="K178" s="6">
        <v>2.5135001000000001E-2</v>
      </c>
      <c r="L178" s="6">
        <v>1.7633111999999999E-2</v>
      </c>
      <c r="M178" s="6">
        <v>0</v>
      </c>
    </row>
    <row r="179" spans="1:13" x14ac:dyDescent="0.25">
      <c r="A179" s="1" t="s">
        <v>89</v>
      </c>
      <c r="B179" s="2">
        <v>1.0988097E-2</v>
      </c>
      <c r="C179" s="1">
        <v>3.0033834999999998E-2</v>
      </c>
      <c r="D179" s="2">
        <v>5.4374674999999997E-2</v>
      </c>
      <c r="E179" s="1">
        <v>8.5119417000000003E-2</v>
      </c>
      <c r="F179" s="1">
        <v>0.15190068000000001</v>
      </c>
      <c r="G179" s="1">
        <v>0.10096417100000001</v>
      </c>
      <c r="H179" s="2">
        <f t="shared" si="2"/>
        <v>0.33798426800000003</v>
      </c>
      <c r="I179" s="6">
        <v>4.2535010999999998E-2</v>
      </c>
      <c r="J179" s="6">
        <v>3.9861920000000002E-2</v>
      </c>
      <c r="K179" s="6">
        <v>1.9550491999999999E-2</v>
      </c>
      <c r="L179" s="6">
        <v>9.9963580000000003E-3</v>
      </c>
      <c r="M179" s="6">
        <v>1.3510182000000001E-2</v>
      </c>
    </row>
    <row r="180" spans="1:13" x14ac:dyDescent="0.25">
      <c r="A180" s="1" t="s">
        <v>90</v>
      </c>
      <c r="B180" s="2">
        <v>0</v>
      </c>
      <c r="C180" s="1">
        <v>5.3066473000000003E-2</v>
      </c>
      <c r="D180" s="2">
        <v>7.0647080000000001E-2</v>
      </c>
      <c r="E180" s="1">
        <v>7.7879375000000001E-2</v>
      </c>
      <c r="F180" s="1">
        <v>0.229474645</v>
      </c>
      <c r="G180" s="1">
        <v>7.8939630999999996E-2</v>
      </c>
      <c r="H180" s="2">
        <f t="shared" si="2"/>
        <v>0.38629365100000002</v>
      </c>
      <c r="I180" s="6">
        <v>3.8715010000000001E-2</v>
      </c>
      <c r="J180" s="6">
        <v>7.6832669000000006E-2</v>
      </c>
      <c r="K180" s="6">
        <v>6.1095580000000002E-3</v>
      </c>
      <c r="L180" s="6">
        <v>1.9367477000000001E-2</v>
      </c>
      <c r="M180" s="6">
        <v>5.7426880000000001E-3</v>
      </c>
    </row>
    <row r="181" spans="1:13" x14ac:dyDescent="0.25">
      <c r="A181" s="1" t="s">
        <v>313</v>
      </c>
      <c r="B181" s="2">
        <v>1.4155127E-2</v>
      </c>
      <c r="C181" s="1">
        <v>4.8871829999999998E-2</v>
      </c>
      <c r="D181" s="2">
        <v>6.1417190000000003E-2</v>
      </c>
      <c r="E181" s="1">
        <v>0.10212070299999999</v>
      </c>
      <c r="F181" s="1">
        <v>0.15933528699999999</v>
      </c>
      <c r="G181" s="1">
        <v>8.4460224E-2</v>
      </c>
      <c r="H181" s="2">
        <f t="shared" si="2"/>
        <v>0.34591621399999994</v>
      </c>
      <c r="I181" s="6">
        <v>4.4328286000000001E-2</v>
      </c>
      <c r="J181" s="6">
        <v>3.7502730999999997E-2</v>
      </c>
      <c r="K181" s="6">
        <v>3.5131965000000001E-2</v>
      </c>
      <c r="L181" s="6">
        <v>0</v>
      </c>
      <c r="M181" s="6">
        <v>0</v>
      </c>
    </row>
    <row r="182" spans="1:13" x14ac:dyDescent="0.25">
      <c r="A182" s="1" t="s">
        <v>314</v>
      </c>
      <c r="B182" s="2">
        <v>1.5611167E-2</v>
      </c>
      <c r="C182" s="1">
        <v>4.1260650000000003E-2</v>
      </c>
      <c r="D182" s="2">
        <v>6.3157015999999996E-2</v>
      </c>
      <c r="E182" s="1">
        <v>9.3077143000000001E-2</v>
      </c>
      <c r="F182" s="1">
        <v>0.169001506</v>
      </c>
      <c r="G182" s="1">
        <v>8.7723226000000001E-2</v>
      </c>
      <c r="H182" s="2">
        <f t="shared" si="2"/>
        <v>0.34980187499999998</v>
      </c>
      <c r="I182" s="6">
        <v>3.5126797000000001E-2</v>
      </c>
      <c r="J182" s="6">
        <v>3.4975080999999998E-2</v>
      </c>
      <c r="K182" s="6">
        <v>2.4399067999999999E-2</v>
      </c>
      <c r="L182" s="6">
        <v>2.8833226E-2</v>
      </c>
      <c r="M182" s="6">
        <v>4.0222280000000001E-3</v>
      </c>
    </row>
    <row r="183" spans="1:13" x14ac:dyDescent="0.25">
      <c r="A183" s="1" t="s">
        <v>315</v>
      </c>
      <c r="B183" s="2">
        <v>9.0014069999999995E-3</v>
      </c>
      <c r="C183" s="1">
        <v>3.2300947000000003E-2</v>
      </c>
      <c r="D183" s="2">
        <v>8.1374769E-2</v>
      </c>
      <c r="E183" s="1">
        <v>5.5317324000000001E-2</v>
      </c>
      <c r="F183" s="1">
        <v>0.18304140799999999</v>
      </c>
      <c r="G183" s="1">
        <v>7.8083521000000003E-2</v>
      </c>
      <c r="H183" s="2">
        <f t="shared" si="2"/>
        <v>0.31644225300000001</v>
      </c>
      <c r="I183" s="6">
        <v>3.4598016000000002E-2</v>
      </c>
      <c r="J183" s="6">
        <v>9.2320078E-2</v>
      </c>
      <c r="K183" s="6">
        <v>1.8747007999999999E-2</v>
      </c>
      <c r="L183" s="6">
        <v>3.7268400000000003E-4</v>
      </c>
      <c r="M183" s="6">
        <v>9.7272629999999999E-3</v>
      </c>
    </row>
    <row r="184" spans="1:13" x14ac:dyDescent="0.25">
      <c r="A184" s="1" t="s">
        <v>91</v>
      </c>
      <c r="B184" s="2">
        <v>7.092971E-3</v>
      </c>
      <c r="C184" s="1">
        <v>4.2530255000000003E-2</v>
      </c>
      <c r="D184" s="2">
        <v>6.7301903999999996E-2</v>
      </c>
      <c r="E184" s="1">
        <v>8.7164913999999996E-2</v>
      </c>
      <c r="F184" s="1">
        <v>0.152953373</v>
      </c>
      <c r="G184" s="1">
        <v>9.1301824000000004E-2</v>
      </c>
      <c r="H184" s="2">
        <f t="shared" si="2"/>
        <v>0.33142011100000002</v>
      </c>
      <c r="I184" s="6">
        <v>3.9032510999999999E-2</v>
      </c>
      <c r="J184" s="6">
        <v>0.103244669</v>
      </c>
      <c r="K184" s="6">
        <v>3.2200904000000002E-2</v>
      </c>
      <c r="L184" s="6">
        <v>3.5002268000000003E-2</v>
      </c>
      <c r="M184" s="6">
        <v>9.9020719999999996E-3</v>
      </c>
    </row>
    <row r="185" spans="1:13" x14ac:dyDescent="0.25">
      <c r="A185" s="1" t="s">
        <v>92</v>
      </c>
      <c r="B185" s="2">
        <v>0</v>
      </c>
      <c r="C185" s="1">
        <v>6.3835769000000001E-2</v>
      </c>
      <c r="D185" s="2">
        <v>5.647638E-2</v>
      </c>
      <c r="E185" s="1">
        <v>6.6081286000000003E-2</v>
      </c>
      <c r="F185" s="1">
        <v>0.18557326900000001</v>
      </c>
      <c r="G185" s="1">
        <v>6.4409378000000003E-2</v>
      </c>
      <c r="H185" s="2">
        <f t="shared" si="2"/>
        <v>0.31606393300000002</v>
      </c>
      <c r="I185" s="6">
        <v>2.4378442E-2</v>
      </c>
      <c r="J185" s="6">
        <v>6.1029376000000003E-2</v>
      </c>
      <c r="K185" s="6">
        <v>2.2290036999999999E-2</v>
      </c>
      <c r="L185" s="6">
        <v>9.5213769999999993E-3</v>
      </c>
      <c r="M185" s="6">
        <v>1.2536584999999999E-2</v>
      </c>
    </row>
    <row r="186" spans="1:13" x14ac:dyDescent="0.25">
      <c r="A186" s="1" t="s">
        <v>93</v>
      </c>
      <c r="B186" s="2">
        <v>0</v>
      </c>
      <c r="C186" s="1">
        <v>7.0548791E-2</v>
      </c>
      <c r="D186" s="2">
        <v>4.7315675000000001E-2</v>
      </c>
      <c r="E186" s="1">
        <v>6.3527447000000001E-2</v>
      </c>
      <c r="F186" s="1">
        <v>0.21623499199999999</v>
      </c>
      <c r="G186" s="1">
        <v>8.6152251999999999E-2</v>
      </c>
      <c r="H186" s="2">
        <f t="shared" si="2"/>
        <v>0.36591469099999996</v>
      </c>
      <c r="I186" s="6">
        <v>3.1989350999999999E-2</v>
      </c>
      <c r="J186" s="6">
        <v>4.5685282000000001E-2</v>
      </c>
      <c r="K186" s="6">
        <v>2.9231225999999999E-2</v>
      </c>
      <c r="L186" s="6">
        <v>1.9973103999999998E-2</v>
      </c>
      <c r="M186" s="6">
        <v>1.3077663999999999E-2</v>
      </c>
    </row>
    <row r="187" spans="1:13" x14ac:dyDescent="0.25">
      <c r="A187" s="1" t="s">
        <v>316</v>
      </c>
      <c r="B187" s="2">
        <v>2.1729504E-2</v>
      </c>
      <c r="C187" s="1">
        <v>2.8814731999999999E-2</v>
      </c>
      <c r="D187" s="2">
        <v>7.9262600000000002E-2</v>
      </c>
      <c r="E187" s="1">
        <v>6.1479894E-2</v>
      </c>
      <c r="F187" s="1">
        <v>0.14979482599999999</v>
      </c>
      <c r="G187" s="1">
        <v>0.105025889</v>
      </c>
      <c r="H187" s="2">
        <f t="shared" si="2"/>
        <v>0.31630060900000001</v>
      </c>
      <c r="I187" s="6">
        <v>3.6267446000000002E-2</v>
      </c>
      <c r="J187" s="6">
        <v>9.8394488000000002E-2</v>
      </c>
      <c r="K187" s="6">
        <v>1.8750255E-2</v>
      </c>
      <c r="L187" s="6">
        <v>2.3139766999999999E-2</v>
      </c>
      <c r="M187" s="6">
        <v>0</v>
      </c>
    </row>
    <row r="188" spans="1:13" x14ac:dyDescent="0.25">
      <c r="A188" s="1" t="s">
        <v>94</v>
      </c>
      <c r="B188" s="2">
        <v>1.1350144E-2</v>
      </c>
      <c r="C188" s="1">
        <v>6.2355141000000003E-2</v>
      </c>
      <c r="D188" s="2">
        <v>8.352996E-2</v>
      </c>
      <c r="E188" s="1">
        <v>8.5517297000000006E-2</v>
      </c>
      <c r="F188" s="1">
        <v>7.6929007999999993E-2</v>
      </c>
      <c r="G188" s="1">
        <v>8.3850477000000007E-2</v>
      </c>
      <c r="H188" s="2">
        <f t="shared" si="2"/>
        <v>0.24629678200000002</v>
      </c>
      <c r="I188" s="6">
        <v>3.82177E-2</v>
      </c>
      <c r="J188" s="6">
        <v>8.6107224999999996E-2</v>
      </c>
      <c r="K188" s="6">
        <v>3.7547435999999997E-2</v>
      </c>
      <c r="L188" s="6">
        <v>1.2006193E-2</v>
      </c>
      <c r="M188" s="6">
        <v>2.1718060000000001E-2</v>
      </c>
    </row>
    <row r="189" spans="1:13" x14ac:dyDescent="0.25">
      <c r="A189" s="1" t="s">
        <v>95</v>
      </c>
      <c r="B189" s="2">
        <v>0</v>
      </c>
      <c r="C189" s="1">
        <v>5.0317637999999998E-2</v>
      </c>
      <c r="D189" s="2">
        <v>5.7374305E-2</v>
      </c>
      <c r="E189" s="1">
        <v>5.0183697999999999E-2</v>
      </c>
      <c r="F189" s="1">
        <v>0.14608916</v>
      </c>
      <c r="G189" s="1">
        <v>0.112730213</v>
      </c>
      <c r="H189" s="2">
        <f t="shared" si="2"/>
        <v>0.30900307100000002</v>
      </c>
      <c r="I189" s="6">
        <v>4.6521630000000001E-2</v>
      </c>
      <c r="J189" s="6">
        <v>7.9261224000000005E-2</v>
      </c>
      <c r="K189" s="6">
        <v>2.6579539999999999E-2</v>
      </c>
      <c r="L189" s="6">
        <v>3.6407042000000001E-2</v>
      </c>
      <c r="M189" s="6">
        <v>1.9843155000000001E-2</v>
      </c>
    </row>
    <row r="190" spans="1:13" x14ac:dyDescent="0.25">
      <c r="A190" s="1" t="s">
        <v>96</v>
      </c>
      <c r="B190" s="2">
        <v>0</v>
      </c>
      <c r="C190" s="1">
        <v>5.2267392000000003E-2</v>
      </c>
      <c r="D190" s="2">
        <v>5.5648927000000001E-2</v>
      </c>
      <c r="E190" s="1">
        <v>4.4553137999999999E-2</v>
      </c>
      <c r="F190" s="1">
        <v>0.21995693399999999</v>
      </c>
      <c r="G190" s="1">
        <v>8.9411426000000002E-2</v>
      </c>
      <c r="H190" s="2">
        <f t="shared" si="2"/>
        <v>0.353921498</v>
      </c>
      <c r="I190" s="6">
        <v>3.8342675E-2</v>
      </c>
      <c r="J190" s="6">
        <v>8.1063476999999995E-2</v>
      </c>
      <c r="K190" s="6">
        <v>4.6171809999999997E-3</v>
      </c>
      <c r="L190" s="6">
        <v>2.6768420000000001E-2</v>
      </c>
      <c r="M190" s="6">
        <v>4.5261110000000002E-3</v>
      </c>
    </row>
    <row r="191" spans="1:13" x14ac:dyDescent="0.25">
      <c r="A191" s="1" t="s">
        <v>317</v>
      </c>
      <c r="B191" s="2">
        <v>1.0373426E-2</v>
      </c>
      <c r="C191" s="1">
        <v>4.2858633E-2</v>
      </c>
      <c r="D191" s="2">
        <v>7.7907301999999998E-2</v>
      </c>
      <c r="E191" s="1">
        <v>7.8145038E-2</v>
      </c>
      <c r="F191" s="1">
        <v>0.14929140099999999</v>
      </c>
      <c r="G191" s="1">
        <v>8.5528928000000004E-2</v>
      </c>
      <c r="H191" s="2">
        <f t="shared" si="2"/>
        <v>0.31296536699999999</v>
      </c>
      <c r="I191" s="6">
        <v>3.1466731999999997E-2</v>
      </c>
      <c r="J191" s="6">
        <v>3.8567149000000002E-2</v>
      </c>
      <c r="K191" s="6">
        <v>2.731834E-2</v>
      </c>
      <c r="L191" s="6">
        <v>1.5217239E-2</v>
      </c>
      <c r="M191" s="6">
        <v>2.1361660000000001E-3</v>
      </c>
    </row>
    <row r="192" spans="1:13" x14ac:dyDescent="0.25">
      <c r="A192" s="1" t="s">
        <v>318</v>
      </c>
      <c r="B192" s="2">
        <v>0</v>
      </c>
      <c r="C192" s="1">
        <v>3.5327508000000001E-2</v>
      </c>
      <c r="D192" s="2">
        <v>9.8328169000000007E-2</v>
      </c>
      <c r="E192" s="1">
        <v>6.5770264999999994E-2</v>
      </c>
      <c r="F192" s="1">
        <v>0.12746195799999999</v>
      </c>
      <c r="G192" s="1">
        <v>0.12831089000000001</v>
      </c>
      <c r="H192" s="2">
        <f t="shared" si="2"/>
        <v>0.32154311299999999</v>
      </c>
      <c r="I192" s="6">
        <v>3.5429052000000003E-2</v>
      </c>
      <c r="J192" s="6">
        <v>8.4022475999999999E-2</v>
      </c>
      <c r="K192" s="6">
        <v>2.2433148E-2</v>
      </c>
      <c r="L192" s="6">
        <v>2.7294006999999999E-2</v>
      </c>
      <c r="M192" s="6">
        <v>0</v>
      </c>
    </row>
    <row r="193" spans="1:13" x14ac:dyDescent="0.25">
      <c r="A193" s="1" t="s">
        <v>319</v>
      </c>
      <c r="B193" s="2">
        <v>0</v>
      </c>
      <c r="C193" s="1">
        <v>5.9627399999999997E-2</v>
      </c>
      <c r="D193" s="2">
        <v>5.8804518E-2</v>
      </c>
      <c r="E193" s="1">
        <v>8.3129673000000001E-2</v>
      </c>
      <c r="F193" s="1">
        <v>0.14531042899999999</v>
      </c>
      <c r="G193" s="1">
        <v>0.13637196400000001</v>
      </c>
      <c r="H193" s="2">
        <f t="shared" si="2"/>
        <v>0.36481206599999999</v>
      </c>
      <c r="I193" s="6">
        <v>3.7945714999999998E-2</v>
      </c>
      <c r="J193" s="6">
        <v>7.5659527000000004E-2</v>
      </c>
      <c r="K193" s="6">
        <v>4.9471259999999996E-3</v>
      </c>
      <c r="L193" s="6">
        <v>9.4443050000000001E-3</v>
      </c>
      <c r="M193" s="6">
        <v>6.2690499999999998E-4</v>
      </c>
    </row>
    <row r="194" spans="1:13" x14ac:dyDescent="0.25">
      <c r="A194" s="1" t="s">
        <v>320</v>
      </c>
      <c r="B194" s="2">
        <v>3.1378014000000003E-2</v>
      </c>
      <c r="C194" s="1">
        <v>1.994288E-2</v>
      </c>
      <c r="D194" s="2">
        <v>0.107609171</v>
      </c>
      <c r="E194" s="1">
        <v>2.7628789000000001E-2</v>
      </c>
      <c r="F194" s="1">
        <v>0.17313874300000001</v>
      </c>
      <c r="G194" s="1">
        <v>0.12046275300000001</v>
      </c>
      <c r="H194" s="2">
        <f t="shared" si="2"/>
        <v>0.32123028500000006</v>
      </c>
      <c r="I194" s="6">
        <v>4.2249874E-2</v>
      </c>
      <c r="J194" s="6">
        <v>7.2655619000000005E-2</v>
      </c>
      <c r="K194" s="6">
        <v>1.3083789E-2</v>
      </c>
      <c r="L194" s="6">
        <v>2.4309291E-2</v>
      </c>
      <c r="M194" s="6">
        <v>2.236137E-3</v>
      </c>
    </row>
    <row r="195" spans="1:13" x14ac:dyDescent="0.25">
      <c r="A195" s="1" t="s">
        <v>321</v>
      </c>
      <c r="B195" s="2">
        <v>1.5375381E-2</v>
      </c>
      <c r="C195" s="1">
        <v>3.5415742E-2</v>
      </c>
      <c r="D195" s="2">
        <v>9.6073565999999999E-2</v>
      </c>
      <c r="E195" s="1">
        <v>6.8435642000000005E-2</v>
      </c>
      <c r="F195" s="1">
        <v>0.14302056799999999</v>
      </c>
      <c r="G195" s="1">
        <v>9.4719508999999993E-2</v>
      </c>
      <c r="H195" s="2">
        <f t="shared" ref="H195:H258" si="3">SUM(E195:G195)</f>
        <v>0.30617571899999996</v>
      </c>
      <c r="I195" s="6">
        <v>4.071698E-2</v>
      </c>
      <c r="J195" s="6">
        <v>8.0174545E-2</v>
      </c>
      <c r="K195" s="6">
        <v>3.7942442E-2</v>
      </c>
      <c r="L195" s="6">
        <v>2.4321254E-2</v>
      </c>
      <c r="M195" s="6">
        <v>1.2133586999999999E-2</v>
      </c>
    </row>
    <row r="196" spans="1:13" x14ac:dyDescent="0.25">
      <c r="A196" s="1" t="s">
        <v>97</v>
      </c>
      <c r="B196" s="2">
        <v>0</v>
      </c>
      <c r="C196" s="1">
        <v>6.1521463999999998E-2</v>
      </c>
      <c r="D196" s="2">
        <v>6.1345621000000003E-2</v>
      </c>
      <c r="E196" s="1">
        <v>5.8397544000000003E-2</v>
      </c>
      <c r="F196" s="1">
        <v>0.18170509300000001</v>
      </c>
      <c r="G196" s="1">
        <v>8.2834485999999999E-2</v>
      </c>
      <c r="H196" s="2">
        <f t="shared" si="3"/>
        <v>0.32293712299999999</v>
      </c>
      <c r="I196" s="6">
        <v>2.5158030000000001E-2</v>
      </c>
      <c r="J196" s="6">
        <v>9.3058908999999995E-2</v>
      </c>
      <c r="K196" s="6">
        <v>2.368514E-2</v>
      </c>
      <c r="L196" s="6">
        <v>1.3469052E-2</v>
      </c>
      <c r="M196" s="6">
        <v>9.9537779999999999E-3</v>
      </c>
    </row>
    <row r="197" spans="1:13" x14ac:dyDescent="0.25">
      <c r="A197" s="1" t="s">
        <v>98</v>
      </c>
      <c r="B197" s="2">
        <v>0</v>
      </c>
      <c r="C197" s="1">
        <v>6.3312840999999995E-2</v>
      </c>
      <c r="D197" s="2">
        <v>5.6512765E-2</v>
      </c>
      <c r="E197" s="1">
        <v>7.7794341000000003E-2</v>
      </c>
      <c r="F197" s="1">
        <v>0.15817407</v>
      </c>
      <c r="G197" s="1">
        <v>0.108862393</v>
      </c>
      <c r="H197" s="2">
        <f t="shared" si="3"/>
        <v>0.34483080399999999</v>
      </c>
      <c r="I197" s="6">
        <v>3.3719332999999997E-2</v>
      </c>
      <c r="J197" s="6">
        <v>9.7657858E-2</v>
      </c>
      <c r="K197" s="6">
        <v>2.5045186000000001E-2</v>
      </c>
      <c r="L197" s="6">
        <v>1.832885E-3</v>
      </c>
      <c r="M197" s="6">
        <v>1.6784764000000001E-2</v>
      </c>
    </row>
    <row r="198" spans="1:13" x14ac:dyDescent="0.25">
      <c r="A198" s="1" t="s">
        <v>322</v>
      </c>
      <c r="B198" s="2">
        <v>0</v>
      </c>
      <c r="C198" s="1">
        <v>6.9762853999999999E-2</v>
      </c>
      <c r="D198" s="2">
        <v>5.8776148E-2</v>
      </c>
      <c r="E198" s="1">
        <v>8.2135073000000003E-2</v>
      </c>
      <c r="F198" s="1">
        <v>0.146830709</v>
      </c>
      <c r="G198" s="1">
        <v>8.6162254999999993E-2</v>
      </c>
      <c r="H198" s="2">
        <f t="shared" si="3"/>
        <v>0.31512803700000003</v>
      </c>
      <c r="I198" s="6">
        <v>3.5605749999999999E-2</v>
      </c>
      <c r="J198" s="6">
        <v>8.2673891999999999E-2</v>
      </c>
      <c r="K198" s="6">
        <v>1.7300632999999999E-2</v>
      </c>
      <c r="L198" s="6">
        <v>2.2831234999999998E-2</v>
      </c>
      <c r="M198" s="6">
        <v>1.2339987E-2</v>
      </c>
    </row>
    <row r="199" spans="1:13" x14ac:dyDescent="0.25">
      <c r="A199" s="1" t="s">
        <v>99</v>
      </c>
      <c r="B199" s="2">
        <v>0</v>
      </c>
      <c r="C199" s="1">
        <v>5.8967925999999997E-2</v>
      </c>
      <c r="D199" s="2">
        <v>3.5448706000000003E-2</v>
      </c>
      <c r="E199" s="1">
        <v>6.7431388999999994E-2</v>
      </c>
      <c r="F199" s="1">
        <v>0.18632046899999999</v>
      </c>
      <c r="G199" s="1">
        <v>6.6188048999999999E-2</v>
      </c>
      <c r="H199" s="2">
        <f t="shared" si="3"/>
        <v>0.31993990699999997</v>
      </c>
      <c r="I199" s="6">
        <v>3.2458787000000003E-2</v>
      </c>
      <c r="J199" s="6">
        <v>9.5016924000000003E-2</v>
      </c>
      <c r="K199" s="6">
        <v>1.2537502000000001E-2</v>
      </c>
      <c r="L199" s="6">
        <v>2.9458306E-2</v>
      </c>
      <c r="M199" s="6">
        <v>1.9519814999999999E-2</v>
      </c>
    </row>
    <row r="200" spans="1:13" x14ac:dyDescent="0.25">
      <c r="A200" s="1" t="s">
        <v>323</v>
      </c>
      <c r="B200" s="2">
        <v>1.097451E-2</v>
      </c>
      <c r="C200" s="1">
        <v>4.2031586000000003E-2</v>
      </c>
      <c r="D200" s="2">
        <v>5.9921455999999998E-2</v>
      </c>
      <c r="E200" s="1">
        <v>5.7828968000000001E-2</v>
      </c>
      <c r="F200" s="1">
        <v>0.15821458499999999</v>
      </c>
      <c r="G200" s="1">
        <v>8.6086777000000003E-2</v>
      </c>
      <c r="H200" s="2">
        <f t="shared" si="3"/>
        <v>0.30213033</v>
      </c>
      <c r="I200" s="6">
        <v>2.9261189999999999E-2</v>
      </c>
      <c r="J200" s="6">
        <v>9.2430543000000004E-2</v>
      </c>
      <c r="K200" s="6">
        <v>2.7223911999999999E-2</v>
      </c>
      <c r="L200" s="6">
        <v>2.0843670000000002E-3</v>
      </c>
      <c r="M200" s="6">
        <v>2.7084654999999999E-2</v>
      </c>
    </row>
    <row r="201" spans="1:13" x14ac:dyDescent="0.25">
      <c r="A201" s="1" t="s">
        <v>100</v>
      </c>
      <c r="B201" s="2">
        <v>0</v>
      </c>
      <c r="C201" s="1">
        <v>6.7756448999999996E-2</v>
      </c>
      <c r="D201" s="2">
        <v>4.9273154999999999E-2</v>
      </c>
      <c r="E201" s="1">
        <v>6.7185968999999998E-2</v>
      </c>
      <c r="F201" s="1">
        <v>0.15180355000000001</v>
      </c>
      <c r="G201" s="1">
        <v>0.104201689</v>
      </c>
      <c r="H201" s="2">
        <f t="shared" si="3"/>
        <v>0.32319120800000001</v>
      </c>
      <c r="I201" s="6">
        <v>3.5399865000000003E-2</v>
      </c>
      <c r="J201" s="6">
        <v>9.0203078000000006E-2</v>
      </c>
      <c r="K201" s="6">
        <v>2.3943339000000001E-2</v>
      </c>
      <c r="L201" s="6">
        <v>2.3760887000000001E-2</v>
      </c>
      <c r="M201" s="6">
        <v>7.3552440000000004E-3</v>
      </c>
    </row>
    <row r="202" spans="1:13" x14ac:dyDescent="0.25">
      <c r="A202" s="1" t="s">
        <v>324</v>
      </c>
      <c r="B202" s="2">
        <v>0</v>
      </c>
      <c r="C202" s="1">
        <v>4.5392622000000001E-2</v>
      </c>
      <c r="D202" s="2">
        <v>5.9406924E-2</v>
      </c>
      <c r="E202" s="1">
        <v>7.4513351000000005E-2</v>
      </c>
      <c r="F202" s="1">
        <v>0.17675471500000001</v>
      </c>
      <c r="G202" s="1">
        <v>8.9876420999999998E-2</v>
      </c>
      <c r="H202" s="2">
        <f t="shared" si="3"/>
        <v>0.341144487</v>
      </c>
      <c r="I202" s="6">
        <v>3.7249612000000001E-2</v>
      </c>
      <c r="J202" s="6">
        <v>0.10805859600000001</v>
      </c>
      <c r="K202" s="6">
        <v>2.3403523999999998E-2</v>
      </c>
      <c r="L202" s="6">
        <v>1.3427661E-2</v>
      </c>
      <c r="M202" s="6">
        <v>1.7684847E-2</v>
      </c>
    </row>
    <row r="203" spans="1:13" x14ac:dyDescent="0.25">
      <c r="A203" s="1" t="s">
        <v>101</v>
      </c>
      <c r="B203" s="2">
        <v>0</v>
      </c>
      <c r="C203" s="1">
        <v>6.1962573999999999E-2</v>
      </c>
      <c r="D203" s="2">
        <v>5.1444766000000003E-2</v>
      </c>
      <c r="E203" s="1">
        <v>9.4080884000000004E-2</v>
      </c>
      <c r="F203" s="1">
        <v>0.14982082899999999</v>
      </c>
      <c r="G203" s="1">
        <v>8.4071495999999996E-2</v>
      </c>
      <c r="H203" s="2">
        <f t="shared" si="3"/>
        <v>0.32797320899999999</v>
      </c>
      <c r="I203" s="6">
        <v>2.4017106999999999E-2</v>
      </c>
      <c r="J203" s="6">
        <v>9.4806199999999993E-2</v>
      </c>
      <c r="K203" s="6">
        <v>2.5109510000000002E-2</v>
      </c>
      <c r="L203" s="6">
        <v>1.7429653E-2</v>
      </c>
      <c r="M203" s="6">
        <v>1.0293629999999999E-3</v>
      </c>
    </row>
    <row r="204" spans="1:13" x14ac:dyDescent="0.25">
      <c r="A204" s="1" t="s">
        <v>102</v>
      </c>
      <c r="B204" s="2">
        <v>0</v>
      </c>
      <c r="C204" s="1">
        <v>4.4622684000000003E-2</v>
      </c>
      <c r="D204" s="2">
        <v>3.4279719E-2</v>
      </c>
      <c r="E204" s="1">
        <v>5.6346782999999998E-2</v>
      </c>
      <c r="F204" s="1">
        <v>0.15771706399999999</v>
      </c>
      <c r="G204" s="1">
        <v>0.106579284</v>
      </c>
      <c r="H204" s="2">
        <f t="shared" si="3"/>
        <v>0.32064313099999997</v>
      </c>
      <c r="I204" s="6">
        <v>5.3592704999999997E-2</v>
      </c>
      <c r="J204" s="6">
        <v>0.102242891</v>
      </c>
      <c r="K204" s="6">
        <v>3.1242466999999999E-2</v>
      </c>
      <c r="L204" s="6">
        <v>2.8930801999999999E-2</v>
      </c>
      <c r="M204" s="6">
        <v>1.3761358E-2</v>
      </c>
    </row>
    <row r="205" spans="1:13" x14ac:dyDescent="0.25">
      <c r="A205" s="1" t="s">
        <v>325</v>
      </c>
      <c r="B205" s="2">
        <v>1.6548955000000001E-2</v>
      </c>
      <c r="C205" s="1">
        <v>5.0169757000000002E-2</v>
      </c>
      <c r="D205" s="2">
        <v>0.117734661</v>
      </c>
      <c r="E205" s="1">
        <v>5.4179772000000001E-2</v>
      </c>
      <c r="F205" s="1">
        <v>0.18997787299999999</v>
      </c>
      <c r="G205" s="1">
        <v>0.102575077</v>
      </c>
      <c r="H205" s="2">
        <f t="shared" si="3"/>
        <v>0.34673272199999999</v>
      </c>
      <c r="I205" s="6">
        <v>3.8068818999999997E-2</v>
      </c>
      <c r="J205" s="6">
        <v>6.6465489000000003E-2</v>
      </c>
      <c r="K205" s="6">
        <v>3.2002775999999997E-2</v>
      </c>
      <c r="L205" s="6">
        <v>1.6084912E-2</v>
      </c>
      <c r="M205" s="6">
        <v>2.1624669999999999E-2</v>
      </c>
    </row>
    <row r="206" spans="1:13" x14ac:dyDescent="0.25">
      <c r="A206" s="1" t="s">
        <v>326</v>
      </c>
      <c r="B206" s="2">
        <v>8.3969800000000001E-3</v>
      </c>
      <c r="C206" s="1">
        <v>3.8736829E-2</v>
      </c>
      <c r="D206" s="2">
        <v>5.8186449000000001E-2</v>
      </c>
      <c r="E206" s="1">
        <v>0.12029632</v>
      </c>
      <c r="F206" s="1">
        <v>0.14510109900000001</v>
      </c>
      <c r="G206" s="1">
        <v>0.116218013</v>
      </c>
      <c r="H206" s="2">
        <f t="shared" si="3"/>
        <v>0.38161543200000003</v>
      </c>
      <c r="I206" s="6">
        <v>2.9932960000000002E-2</v>
      </c>
      <c r="J206" s="6">
        <v>4.0198553999999997E-2</v>
      </c>
      <c r="K206" s="6">
        <v>2.6065716999999999E-2</v>
      </c>
      <c r="L206" s="6">
        <v>2.1398803000000001E-2</v>
      </c>
      <c r="M206" s="6">
        <v>2.0290070000000002E-3</v>
      </c>
    </row>
    <row r="207" spans="1:13" x14ac:dyDescent="0.25">
      <c r="A207" s="1" t="s">
        <v>327</v>
      </c>
      <c r="B207" s="2">
        <v>5.0891970000000002E-3</v>
      </c>
      <c r="C207" s="1">
        <v>4.3684237000000001E-2</v>
      </c>
      <c r="D207" s="2">
        <v>8.2140509E-2</v>
      </c>
      <c r="E207" s="1">
        <v>5.8616888999999998E-2</v>
      </c>
      <c r="F207" s="1">
        <v>0.144758262</v>
      </c>
      <c r="G207" s="1">
        <v>9.9870561999999996E-2</v>
      </c>
      <c r="H207" s="2">
        <f t="shared" si="3"/>
        <v>0.30324571300000003</v>
      </c>
      <c r="I207" s="6">
        <v>4.1595681000000002E-2</v>
      </c>
      <c r="J207" s="6">
        <v>5.7425434999999997E-2</v>
      </c>
      <c r="K207" s="6">
        <v>2.5999468000000001E-2</v>
      </c>
      <c r="L207" s="6">
        <v>5.0963303000000001E-2</v>
      </c>
      <c r="M207" s="6">
        <v>9.2366419999999998E-3</v>
      </c>
    </row>
    <row r="208" spans="1:13" x14ac:dyDescent="0.25">
      <c r="A208" s="1" t="s">
        <v>103</v>
      </c>
      <c r="B208" s="2">
        <v>1.2828192E-2</v>
      </c>
      <c r="C208" s="1">
        <v>6.1560200000000002E-2</v>
      </c>
      <c r="D208" s="2">
        <v>2.9766219E-2</v>
      </c>
      <c r="E208" s="1">
        <v>2.2554655E-2</v>
      </c>
      <c r="F208" s="1">
        <v>0.17953712299999999</v>
      </c>
      <c r="G208" s="1">
        <v>9.8886288000000003E-2</v>
      </c>
      <c r="H208" s="2">
        <f t="shared" si="3"/>
        <v>0.30097806599999999</v>
      </c>
      <c r="I208" s="6">
        <v>5.7693741999999999E-2</v>
      </c>
      <c r="J208" s="6">
        <v>8.7113451999999994E-2</v>
      </c>
      <c r="K208" s="6">
        <v>2.3323993000000001E-2</v>
      </c>
      <c r="L208" s="6">
        <v>1.04023E-4</v>
      </c>
      <c r="M208" s="6">
        <v>1.5841052000000001E-2</v>
      </c>
    </row>
    <row r="209" spans="1:13" x14ac:dyDescent="0.25">
      <c r="A209" s="1" t="s">
        <v>104</v>
      </c>
      <c r="B209" s="2">
        <v>6.6173309999999997E-3</v>
      </c>
      <c r="C209" s="1">
        <v>5.1831057E-2</v>
      </c>
      <c r="D209" s="2">
        <v>5.7387319999999999E-2</v>
      </c>
      <c r="E209" s="1">
        <v>3.9827067000000001E-2</v>
      </c>
      <c r="F209" s="1">
        <v>0.19019587399999999</v>
      </c>
      <c r="G209" s="1">
        <v>9.7953265999999997E-2</v>
      </c>
      <c r="H209" s="2">
        <f t="shared" si="3"/>
        <v>0.32797620699999996</v>
      </c>
      <c r="I209" s="6">
        <v>4.2826006999999999E-2</v>
      </c>
      <c r="J209" s="6">
        <v>6.9037013999999994E-2</v>
      </c>
      <c r="K209" s="6">
        <v>2.985985E-2</v>
      </c>
      <c r="L209" s="6">
        <v>2.7746707999999998E-2</v>
      </c>
      <c r="M209" s="6">
        <v>1.7773502E-2</v>
      </c>
    </row>
    <row r="210" spans="1:13" x14ac:dyDescent="0.25">
      <c r="A210" s="1" t="s">
        <v>328</v>
      </c>
      <c r="B210" s="2">
        <v>0</v>
      </c>
      <c r="C210" s="1">
        <v>6.2516996000000005E-2</v>
      </c>
      <c r="D210" s="2">
        <v>5.7360824999999997E-2</v>
      </c>
      <c r="E210" s="1">
        <v>8.2357978999999998E-2</v>
      </c>
      <c r="F210" s="1">
        <v>0.134945379</v>
      </c>
      <c r="G210" s="1">
        <v>9.8771098000000002E-2</v>
      </c>
      <c r="H210" s="2">
        <f t="shared" si="3"/>
        <v>0.316074456</v>
      </c>
      <c r="I210" s="6">
        <v>2.4449176999999999E-2</v>
      </c>
      <c r="J210" s="6">
        <v>0.12516221999999999</v>
      </c>
      <c r="K210" s="6">
        <v>4.520301E-3</v>
      </c>
      <c r="L210" s="6">
        <v>1.0335868999999999E-2</v>
      </c>
      <c r="M210" s="6">
        <v>1.0680255E-2</v>
      </c>
    </row>
    <row r="211" spans="1:13" x14ac:dyDescent="0.25">
      <c r="A211" s="1" t="s">
        <v>329</v>
      </c>
      <c r="B211" s="2">
        <v>0</v>
      </c>
      <c r="C211" s="1">
        <v>9.1928055999999994E-2</v>
      </c>
      <c r="D211" s="2">
        <v>4.1382950000000002E-2</v>
      </c>
      <c r="E211" s="1">
        <v>9.1129742999999999E-2</v>
      </c>
      <c r="F211" s="1">
        <v>0.15869379</v>
      </c>
      <c r="G211" s="1">
        <v>7.8065735999999997E-2</v>
      </c>
      <c r="H211" s="2">
        <f t="shared" si="3"/>
        <v>0.32788926899999998</v>
      </c>
      <c r="I211" s="6">
        <v>4.4241807000000001E-2</v>
      </c>
      <c r="J211" s="6">
        <v>9.1871978000000007E-2</v>
      </c>
      <c r="K211" s="6">
        <v>2.6090694000000001E-2</v>
      </c>
      <c r="L211" s="6">
        <v>2.0409482E-2</v>
      </c>
      <c r="M211" s="6">
        <v>4.7765250000000002E-3</v>
      </c>
    </row>
    <row r="212" spans="1:13" x14ac:dyDescent="0.25">
      <c r="A212" s="1" t="s">
        <v>105</v>
      </c>
      <c r="B212" s="2">
        <v>0</v>
      </c>
      <c r="C212" s="1">
        <v>5.4123258E-2</v>
      </c>
      <c r="D212" s="2">
        <v>5.8728376999999998E-2</v>
      </c>
      <c r="E212" s="1">
        <v>7.6337004999999999E-2</v>
      </c>
      <c r="F212" s="1">
        <v>0.14994629400000001</v>
      </c>
      <c r="G212" s="1">
        <v>0.102634084</v>
      </c>
      <c r="H212" s="2">
        <f t="shared" si="3"/>
        <v>0.32891738300000001</v>
      </c>
      <c r="I212" s="6">
        <v>2.9278730999999999E-2</v>
      </c>
      <c r="J212" s="6">
        <v>8.0437466999999999E-2</v>
      </c>
      <c r="K212" s="6">
        <v>2.6993205999999999E-2</v>
      </c>
      <c r="L212" s="6">
        <v>2.9535471000000001E-2</v>
      </c>
      <c r="M212" s="6">
        <v>1.2113562E-2</v>
      </c>
    </row>
    <row r="213" spans="1:13" x14ac:dyDescent="0.25">
      <c r="A213" s="1" t="s">
        <v>330</v>
      </c>
      <c r="B213" s="2">
        <v>1.6980929999999999E-3</v>
      </c>
      <c r="C213" s="1">
        <v>2.4862228E-2</v>
      </c>
      <c r="D213" s="2">
        <v>8.8416248000000003E-2</v>
      </c>
      <c r="E213" s="1">
        <v>0.127730502</v>
      </c>
      <c r="F213" s="1">
        <v>0.14230209799999999</v>
      </c>
      <c r="G213" s="1">
        <v>0.12810183</v>
      </c>
      <c r="H213" s="2">
        <f t="shared" si="3"/>
        <v>0.39813442999999993</v>
      </c>
      <c r="I213" s="6">
        <v>3.4371822000000003E-2</v>
      </c>
      <c r="J213" s="6">
        <v>5.4093093000000002E-2</v>
      </c>
      <c r="K213" s="6">
        <v>6.2566849999999997E-3</v>
      </c>
      <c r="L213" s="6">
        <v>9.9918720000000006E-3</v>
      </c>
      <c r="M213" s="6">
        <v>9.8070959999999995E-3</v>
      </c>
    </row>
    <row r="214" spans="1:13" x14ac:dyDescent="0.25">
      <c r="A214" s="1" t="s">
        <v>106</v>
      </c>
      <c r="B214" s="2">
        <v>1.3192779999999999E-3</v>
      </c>
      <c r="C214" s="1">
        <v>4.9381256999999998E-2</v>
      </c>
      <c r="D214" s="2">
        <v>5.2610154999999999E-2</v>
      </c>
      <c r="E214" s="1">
        <v>8.1037724000000005E-2</v>
      </c>
      <c r="F214" s="1">
        <v>0.174324547</v>
      </c>
      <c r="G214" s="1">
        <v>9.8591758000000002E-2</v>
      </c>
      <c r="H214" s="2">
        <f t="shared" si="3"/>
        <v>0.35395402899999995</v>
      </c>
      <c r="I214" s="6">
        <v>3.4699833999999999E-2</v>
      </c>
      <c r="J214" s="6">
        <v>8.5811235999999999E-2</v>
      </c>
      <c r="K214" s="6">
        <v>1.1996491E-2</v>
      </c>
      <c r="L214" s="6">
        <v>7.1099099999999997E-3</v>
      </c>
      <c r="M214" s="6">
        <v>2.084785E-3</v>
      </c>
    </row>
    <row r="215" spans="1:13" x14ac:dyDescent="0.25">
      <c r="A215" s="1" t="s">
        <v>107</v>
      </c>
      <c r="B215" s="2">
        <v>6.2416290000000003E-3</v>
      </c>
      <c r="C215" s="1">
        <v>4.8342515000000003E-2</v>
      </c>
      <c r="D215" s="2">
        <v>5.3308232999999997E-2</v>
      </c>
      <c r="E215" s="1">
        <v>7.7639369999999999E-2</v>
      </c>
      <c r="F215" s="1">
        <v>0.18134515400000001</v>
      </c>
      <c r="G215" s="1">
        <v>9.9204174000000006E-2</v>
      </c>
      <c r="H215" s="2">
        <f t="shared" si="3"/>
        <v>0.35818869799999997</v>
      </c>
      <c r="I215" s="6">
        <v>2.8697901000000001E-2</v>
      </c>
      <c r="J215" s="6">
        <v>7.8717066000000002E-2</v>
      </c>
      <c r="K215" s="6">
        <v>9.4846199999999992E-3</v>
      </c>
      <c r="L215" s="6">
        <v>1.852701E-2</v>
      </c>
      <c r="M215" s="6">
        <v>7.7311819999999996E-3</v>
      </c>
    </row>
    <row r="216" spans="1:13" x14ac:dyDescent="0.25">
      <c r="A216" s="1" t="s">
        <v>108</v>
      </c>
      <c r="B216" s="2">
        <v>6.3515919999999997E-3</v>
      </c>
      <c r="C216" s="1">
        <v>4.6698875000000001E-2</v>
      </c>
      <c r="D216" s="2">
        <v>6.9332642999999999E-2</v>
      </c>
      <c r="E216" s="1">
        <v>4.8458846999999999E-2</v>
      </c>
      <c r="F216" s="1">
        <v>0.203370205</v>
      </c>
      <c r="G216" s="1">
        <v>8.5828823999999998E-2</v>
      </c>
      <c r="H216" s="2">
        <f t="shared" si="3"/>
        <v>0.33765787599999997</v>
      </c>
      <c r="I216" s="6">
        <v>3.6349894000000001E-2</v>
      </c>
      <c r="J216" s="6">
        <v>7.0617866000000001E-2</v>
      </c>
      <c r="K216" s="6">
        <v>2.6229203E-2</v>
      </c>
      <c r="L216" s="6">
        <v>2.6517471000000001E-2</v>
      </c>
      <c r="M216" s="6">
        <v>7.3671780000000003E-3</v>
      </c>
    </row>
    <row r="217" spans="1:13" x14ac:dyDescent="0.25">
      <c r="A217" s="1" t="s">
        <v>331</v>
      </c>
      <c r="B217" s="2">
        <v>0</v>
      </c>
      <c r="C217" s="1">
        <v>3.0020801E-2</v>
      </c>
      <c r="D217" s="2">
        <v>6.6083237000000003E-2</v>
      </c>
      <c r="E217" s="1">
        <v>6.6576040000000003E-2</v>
      </c>
      <c r="F217" s="1">
        <v>0.142889184</v>
      </c>
      <c r="G217" s="1">
        <v>9.8233637999999998E-2</v>
      </c>
      <c r="H217" s="2">
        <f t="shared" si="3"/>
        <v>0.30769886200000002</v>
      </c>
      <c r="I217" s="6">
        <v>4.4310046999999998E-2</v>
      </c>
      <c r="J217" s="6">
        <v>7.4760756999999997E-2</v>
      </c>
      <c r="K217" s="6">
        <v>2.0234292000000001E-2</v>
      </c>
      <c r="L217" s="6">
        <v>2.0193565E-2</v>
      </c>
      <c r="M217" s="6">
        <v>1.8262335000000001E-2</v>
      </c>
    </row>
    <row r="218" spans="1:13" x14ac:dyDescent="0.25">
      <c r="A218" s="1" t="s">
        <v>332</v>
      </c>
      <c r="B218" s="2">
        <v>1.0803597999999999E-2</v>
      </c>
      <c r="C218" s="1">
        <v>5.2771400000000003E-2</v>
      </c>
      <c r="D218" s="2">
        <v>6.0040140999999998E-2</v>
      </c>
      <c r="E218" s="1">
        <v>8.0462642000000001E-2</v>
      </c>
      <c r="F218" s="1">
        <v>0.16846288100000001</v>
      </c>
      <c r="G218" s="1">
        <v>0.10252146299999999</v>
      </c>
      <c r="H218" s="2">
        <f t="shared" si="3"/>
        <v>0.35144698600000002</v>
      </c>
      <c r="I218" s="6">
        <v>3.5818946999999997E-2</v>
      </c>
      <c r="J218" s="6">
        <v>6.9157324000000006E-2</v>
      </c>
      <c r="K218" s="6">
        <v>2.1255804999999999E-2</v>
      </c>
      <c r="L218" s="6">
        <v>2.6442078000000001E-2</v>
      </c>
      <c r="M218" s="6">
        <v>1.3132479000000001E-2</v>
      </c>
    </row>
    <row r="219" spans="1:13" x14ac:dyDescent="0.25">
      <c r="A219" t="s">
        <v>333</v>
      </c>
      <c r="B219" s="2">
        <v>1.6296066000000001E-2</v>
      </c>
      <c r="C219" s="1">
        <v>5.1391128000000001E-2</v>
      </c>
      <c r="D219" s="2">
        <v>2.3017863999999999E-2</v>
      </c>
      <c r="E219" s="1">
        <v>6.2108370000000003E-2</v>
      </c>
      <c r="F219" s="1">
        <v>0.15379717300000001</v>
      </c>
      <c r="G219" s="1">
        <v>0.11892396199999999</v>
      </c>
      <c r="H219" s="2">
        <f t="shared" si="3"/>
        <v>0.33482950499999997</v>
      </c>
      <c r="I219" s="6">
        <v>4.3626715000000003E-2</v>
      </c>
      <c r="J219" s="6">
        <v>9.4079134999999994E-2</v>
      </c>
      <c r="K219" s="6">
        <v>1.2879784999999999E-2</v>
      </c>
      <c r="L219" s="6">
        <v>3.9611424999999999E-2</v>
      </c>
      <c r="M219" s="6">
        <v>1.1493632E-2</v>
      </c>
    </row>
    <row r="220" spans="1:13" x14ac:dyDescent="0.25">
      <c r="A220" t="s">
        <v>109</v>
      </c>
      <c r="B220" s="3">
        <v>0</v>
      </c>
      <c r="C220" s="1">
        <v>6.0264185999999997E-2</v>
      </c>
      <c r="D220" s="3">
        <v>5.4762737999999998E-2</v>
      </c>
      <c r="E220">
        <v>7.2764594000000002E-2</v>
      </c>
      <c r="F220" s="1">
        <v>0.16582509200000001</v>
      </c>
      <c r="G220" s="1">
        <v>7.8944747999999995E-2</v>
      </c>
      <c r="H220" s="2">
        <f t="shared" si="3"/>
        <v>0.31753443400000003</v>
      </c>
      <c r="I220" s="6">
        <v>3.8632260000000002E-2</v>
      </c>
      <c r="J220" s="6">
        <v>0.107739976</v>
      </c>
      <c r="K220" s="6">
        <v>3.6652021E-2</v>
      </c>
      <c r="L220" s="6">
        <v>3.4114347000000003E-2</v>
      </c>
      <c r="M220" s="6">
        <v>1.2386285E-2</v>
      </c>
    </row>
    <row r="221" spans="1:13" x14ac:dyDescent="0.25">
      <c r="A221" s="1" t="s">
        <v>334</v>
      </c>
      <c r="B221" s="3">
        <v>9.0394110000000007E-3</v>
      </c>
      <c r="C221" s="1">
        <v>4.5094764000000002E-2</v>
      </c>
      <c r="D221" s="3">
        <v>6.8439456999999995E-2</v>
      </c>
      <c r="E221">
        <v>0.103687141</v>
      </c>
      <c r="F221" s="1">
        <v>0.143222444</v>
      </c>
      <c r="G221" s="1">
        <v>0.106717729</v>
      </c>
      <c r="H221" s="2">
        <f t="shared" si="3"/>
        <v>0.35362731399999997</v>
      </c>
      <c r="I221" s="6">
        <v>5.0791709999999997E-2</v>
      </c>
      <c r="J221" s="6">
        <v>6.8921359000000001E-2</v>
      </c>
      <c r="K221" s="6">
        <v>1.2435019E-2</v>
      </c>
      <c r="L221" s="6">
        <v>2.2789516999999999E-2</v>
      </c>
      <c r="M221" s="6">
        <v>3.7642510000000001E-3</v>
      </c>
    </row>
    <row r="222" spans="1:13" x14ac:dyDescent="0.25">
      <c r="A222" s="1" t="s">
        <v>335</v>
      </c>
      <c r="B222" s="3">
        <v>1.8069091999999998E-2</v>
      </c>
      <c r="C222" s="1">
        <v>2.4462911E-2</v>
      </c>
      <c r="D222" s="3">
        <v>5.8996637999999997E-2</v>
      </c>
      <c r="E222">
        <v>3.6936844000000003E-2</v>
      </c>
      <c r="F222" s="1">
        <v>0.1453991</v>
      </c>
      <c r="G222" s="1">
        <v>9.8862775999999999E-2</v>
      </c>
      <c r="H222" s="2">
        <f t="shared" si="3"/>
        <v>0.28119872000000001</v>
      </c>
      <c r="I222" s="6">
        <v>4.5068384000000003E-2</v>
      </c>
      <c r="J222" s="6">
        <v>6.9623597999999995E-2</v>
      </c>
      <c r="K222" s="6">
        <v>3.8881671999999999E-2</v>
      </c>
      <c r="L222" s="6">
        <v>2.8406526000000001E-2</v>
      </c>
      <c r="M222" s="6">
        <v>2.0979353999999999E-2</v>
      </c>
    </row>
    <row r="223" spans="1:13" x14ac:dyDescent="0.25">
      <c r="A223" t="s">
        <v>110</v>
      </c>
      <c r="B223" s="3">
        <v>0</v>
      </c>
      <c r="C223" s="1">
        <v>7.7846065000000006E-2</v>
      </c>
      <c r="D223" s="3">
        <v>2.7366195999999999E-2</v>
      </c>
      <c r="E223">
        <v>9.6899337000000002E-2</v>
      </c>
      <c r="F223" s="1">
        <v>0.187486503</v>
      </c>
      <c r="G223" s="1">
        <v>9.4207024E-2</v>
      </c>
      <c r="H223" s="2">
        <f t="shared" si="3"/>
        <v>0.37859286400000003</v>
      </c>
      <c r="I223" s="6">
        <v>4.9224851999999999E-2</v>
      </c>
      <c r="J223" s="6">
        <v>0.109006749</v>
      </c>
      <c r="K223" s="6">
        <v>1.4603588000000001E-2</v>
      </c>
      <c r="L223" s="6">
        <v>7.5891299999999995E-4</v>
      </c>
      <c r="M223" s="6">
        <v>0</v>
      </c>
    </row>
    <row r="224" spans="1:13" x14ac:dyDescent="0.25">
      <c r="A224" t="s">
        <v>111</v>
      </c>
      <c r="B224" s="3">
        <v>0</v>
      </c>
      <c r="C224" s="1">
        <v>6.3213446000000006E-2</v>
      </c>
      <c r="D224" s="3">
        <v>6.6440987000000007E-2</v>
      </c>
      <c r="E224">
        <v>6.9110811999999994E-2</v>
      </c>
      <c r="F224" s="1">
        <v>0.17886724200000001</v>
      </c>
      <c r="G224" s="1">
        <v>8.3199461000000002E-2</v>
      </c>
      <c r="H224" s="2">
        <f t="shared" si="3"/>
        <v>0.33117751500000003</v>
      </c>
      <c r="I224" s="6">
        <v>3.3783294999999998E-2</v>
      </c>
      <c r="J224" s="6">
        <v>9.4707111999999996E-2</v>
      </c>
      <c r="K224" s="6">
        <v>2.5624813E-2</v>
      </c>
      <c r="L224" s="6">
        <v>2.5660814000000001E-2</v>
      </c>
      <c r="M224" s="6">
        <v>3.5748249999999998E-3</v>
      </c>
    </row>
    <row r="225" spans="1:13" x14ac:dyDescent="0.25">
      <c r="A225" t="s">
        <v>112</v>
      </c>
      <c r="B225" s="4">
        <v>0</v>
      </c>
      <c r="C225" s="1">
        <v>6.4643706999999995E-2</v>
      </c>
      <c r="D225" s="3">
        <v>5.7092416E-2</v>
      </c>
      <c r="E225">
        <v>4.8198924999999997E-2</v>
      </c>
      <c r="F225" s="1">
        <v>0.18432175200000001</v>
      </c>
      <c r="G225" s="1">
        <v>0.11178997</v>
      </c>
      <c r="H225" s="2">
        <f t="shared" si="3"/>
        <v>0.34431064700000003</v>
      </c>
      <c r="I225" s="6">
        <v>4.5174412999999997E-2</v>
      </c>
      <c r="J225" s="6">
        <v>8.6437321999999997E-2</v>
      </c>
      <c r="K225" s="6">
        <v>3.4651886999999999E-2</v>
      </c>
      <c r="L225" s="6">
        <v>2.1733837999999998E-2</v>
      </c>
      <c r="M225" s="6">
        <v>1.7509726999999999E-2</v>
      </c>
    </row>
    <row r="226" spans="1:13" x14ac:dyDescent="0.25">
      <c r="A226" t="s">
        <v>336</v>
      </c>
      <c r="B226" s="3">
        <v>0</v>
      </c>
      <c r="C226" s="1">
        <v>4.0744520999999999E-2</v>
      </c>
      <c r="D226" s="3">
        <v>8.0721846E-2</v>
      </c>
      <c r="E226">
        <v>8.1062914E-2</v>
      </c>
      <c r="F226" s="1">
        <v>0.149396006</v>
      </c>
      <c r="G226" s="1">
        <v>9.2745480000000005E-2</v>
      </c>
      <c r="H226" s="2">
        <f t="shared" si="3"/>
        <v>0.3232044</v>
      </c>
      <c r="I226" s="6">
        <v>3.8361905000000002E-2</v>
      </c>
      <c r="J226" s="6">
        <v>6.2563487000000001E-2</v>
      </c>
      <c r="K226" s="6">
        <v>2.7609933999999999E-2</v>
      </c>
      <c r="L226" s="6">
        <v>3.0854663000000001E-2</v>
      </c>
      <c r="M226" s="6">
        <v>1.1903110999999999E-2</v>
      </c>
    </row>
    <row r="227" spans="1:13" x14ac:dyDescent="0.25">
      <c r="A227" t="s">
        <v>113</v>
      </c>
      <c r="B227" s="3">
        <v>6.1417470000000004E-3</v>
      </c>
      <c r="C227" s="1">
        <v>4.2568613999999998E-2</v>
      </c>
      <c r="D227" s="3">
        <v>4.4056095000000003E-2</v>
      </c>
      <c r="E227" s="3">
        <v>0.14492180800000001</v>
      </c>
      <c r="F227" s="1">
        <v>0.153414941</v>
      </c>
      <c r="G227" s="1">
        <v>0.100359869</v>
      </c>
      <c r="H227" s="2">
        <f t="shared" si="3"/>
        <v>0.398696618</v>
      </c>
      <c r="I227" s="6">
        <v>3.8975722999999997E-2</v>
      </c>
      <c r="J227" s="6">
        <v>3.9530559E-2</v>
      </c>
      <c r="K227" s="6">
        <v>1.1897423000000001E-2</v>
      </c>
      <c r="L227" s="6">
        <v>2.2043083000000002E-2</v>
      </c>
      <c r="M227" s="6">
        <v>8.4252500000000004E-3</v>
      </c>
    </row>
    <row r="228" spans="1:13" x14ac:dyDescent="0.25">
      <c r="A228" t="s">
        <v>114</v>
      </c>
      <c r="B228" s="3">
        <v>0</v>
      </c>
      <c r="C228" s="1">
        <v>6.2573168999999998E-2</v>
      </c>
      <c r="D228" s="3">
        <v>4.2487354999999997E-2</v>
      </c>
      <c r="E228">
        <v>8.5386975000000004E-2</v>
      </c>
      <c r="F228" s="1">
        <v>0.18968589299999999</v>
      </c>
      <c r="G228" s="1">
        <v>8.9710605999999998E-2</v>
      </c>
      <c r="H228" s="2">
        <f t="shared" si="3"/>
        <v>0.364783474</v>
      </c>
      <c r="I228" s="6">
        <v>3.6993458999999999E-2</v>
      </c>
      <c r="J228" s="6">
        <v>8.4121658000000002E-2</v>
      </c>
      <c r="K228" s="6">
        <v>1.9519469000000001E-2</v>
      </c>
      <c r="L228" s="6">
        <v>1.6829304E-2</v>
      </c>
      <c r="M228" s="6">
        <v>2.2038993E-2</v>
      </c>
    </row>
    <row r="229" spans="1:13" ht="15" customHeight="1" x14ac:dyDescent="0.25">
      <c r="A229" t="s">
        <v>337</v>
      </c>
      <c r="B229">
        <v>0</v>
      </c>
      <c r="C229" s="1">
        <v>6.5879378000000002E-2</v>
      </c>
      <c r="D229">
        <v>8.8928375000000004E-2</v>
      </c>
      <c r="E229" s="5">
        <v>8.3359471000000004E-2</v>
      </c>
      <c r="F229" s="1">
        <v>0.13027844199999999</v>
      </c>
      <c r="G229" s="1">
        <v>0.113632329</v>
      </c>
      <c r="H229" s="2">
        <f t="shared" si="3"/>
        <v>0.32727024199999999</v>
      </c>
      <c r="I229" s="6">
        <v>2.8137593999999998E-2</v>
      </c>
      <c r="J229" s="6">
        <v>8.9119195999999998E-2</v>
      </c>
      <c r="K229" s="6">
        <v>1.6588550000000001E-2</v>
      </c>
      <c r="L229" s="6">
        <v>3.325368E-3</v>
      </c>
      <c r="M229" s="6">
        <v>9.7977600000000008E-3</v>
      </c>
    </row>
    <row r="230" spans="1:13" x14ac:dyDescent="0.25">
      <c r="A230" t="s">
        <v>338</v>
      </c>
      <c r="B230" s="3">
        <v>0</v>
      </c>
      <c r="C230" s="1">
        <v>7.1482712000000004E-2</v>
      </c>
      <c r="D230" s="3">
        <v>7.4402583999999994E-2</v>
      </c>
      <c r="E230">
        <v>6.2890813000000004E-2</v>
      </c>
      <c r="F230" s="1">
        <v>0.18294524200000001</v>
      </c>
      <c r="G230" s="1">
        <v>9.5354174E-2</v>
      </c>
      <c r="H230" s="2">
        <f t="shared" si="3"/>
        <v>0.34119022900000001</v>
      </c>
      <c r="I230" s="6">
        <v>3.2980517000000001E-2</v>
      </c>
      <c r="J230" s="6">
        <v>7.7003403999999998E-2</v>
      </c>
      <c r="K230" s="6">
        <v>2.7376988000000001E-2</v>
      </c>
      <c r="L230" s="6">
        <v>1.4840904E-2</v>
      </c>
      <c r="M230" s="6">
        <v>0</v>
      </c>
    </row>
    <row r="231" spans="1:13" x14ac:dyDescent="0.25">
      <c r="A231" t="s">
        <v>115</v>
      </c>
      <c r="B231" s="3">
        <v>3.540077E-3</v>
      </c>
      <c r="C231" s="1">
        <v>4.3845415999999998E-2</v>
      </c>
      <c r="D231" s="3">
        <v>4.9354746999999997E-2</v>
      </c>
      <c r="E231">
        <v>4.3299364E-2</v>
      </c>
      <c r="F231" s="1">
        <v>0.19941862099999999</v>
      </c>
      <c r="G231" s="1">
        <v>7.4745383999999998E-2</v>
      </c>
      <c r="H231" s="2">
        <f t="shared" si="3"/>
        <v>0.317463369</v>
      </c>
      <c r="I231" s="6">
        <v>2.5655952999999999E-2</v>
      </c>
      <c r="J231" s="6">
        <v>0.110807954</v>
      </c>
      <c r="K231" s="6">
        <v>3.7827470000000002E-2</v>
      </c>
      <c r="L231" s="6">
        <v>1.9438463E-2</v>
      </c>
      <c r="M231" s="6">
        <v>1.0260679E-2</v>
      </c>
    </row>
    <row r="232" spans="1:13" x14ac:dyDescent="0.25">
      <c r="A232" t="s">
        <v>339</v>
      </c>
      <c r="B232" s="3">
        <v>6.6288079999999999E-3</v>
      </c>
      <c r="C232" s="1">
        <v>4.1855333000000002E-2</v>
      </c>
      <c r="D232" s="3">
        <v>4.3292300999999998E-2</v>
      </c>
      <c r="E232">
        <v>8.2499113999999998E-2</v>
      </c>
      <c r="F232" s="1">
        <v>0.16969599299999999</v>
      </c>
      <c r="G232" s="1">
        <v>8.3113139000000003E-2</v>
      </c>
      <c r="H232" s="2">
        <f t="shared" si="3"/>
        <v>0.33530824599999998</v>
      </c>
      <c r="I232" s="6">
        <v>3.6555989999999997E-2</v>
      </c>
      <c r="J232" s="6">
        <v>3.8226031000000001E-2</v>
      </c>
      <c r="K232" s="6">
        <v>3.8040526999999998E-2</v>
      </c>
      <c r="L232" s="6">
        <v>2.1823408999999998E-2</v>
      </c>
      <c r="M232" s="6">
        <v>1.3616326E-2</v>
      </c>
    </row>
    <row r="233" spans="1:13" x14ac:dyDescent="0.25">
      <c r="A233" t="s">
        <v>340</v>
      </c>
      <c r="B233" s="3">
        <v>1.0037149E-2</v>
      </c>
      <c r="C233" s="1">
        <v>2.8964505000000002E-2</v>
      </c>
      <c r="D233" s="3">
        <v>8.6954344000000003E-2</v>
      </c>
      <c r="E233">
        <v>0.13520080700000001</v>
      </c>
      <c r="F233" s="1">
        <v>0.146360554</v>
      </c>
      <c r="G233" s="1">
        <v>0.113189527</v>
      </c>
      <c r="H233" s="2">
        <f t="shared" si="3"/>
        <v>0.39475088800000002</v>
      </c>
      <c r="I233" s="6">
        <v>3.9174235000000002E-2</v>
      </c>
      <c r="J233" s="6">
        <v>6.9213997999999999E-2</v>
      </c>
      <c r="K233" s="6">
        <v>4.7555619999999996E-3</v>
      </c>
      <c r="L233" s="6">
        <v>1.6069396999999999E-2</v>
      </c>
      <c r="M233" s="6">
        <v>2.8770929999999998E-3</v>
      </c>
    </row>
    <row r="234" spans="1:13" x14ac:dyDescent="0.25">
      <c r="A234" t="s">
        <v>341</v>
      </c>
      <c r="B234" s="3">
        <v>0</v>
      </c>
      <c r="C234" s="1">
        <v>4.7700801000000001E-2</v>
      </c>
      <c r="D234" s="3">
        <v>4.9301883999999997E-2</v>
      </c>
      <c r="E234">
        <v>0.12029395599999999</v>
      </c>
      <c r="F234" s="1">
        <v>0.13310034200000001</v>
      </c>
      <c r="G234" s="1">
        <v>9.4514531999999998E-2</v>
      </c>
      <c r="H234" s="2">
        <f t="shared" si="3"/>
        <v>0.34790883</v>
      </c>
      <c r="I234" s="6">
        <v>2.9500268999999999E-2</v>
      </c>
      <c r="J234" s="6">
        <v>6.1472038E-2</v>
      </c>
      <c r="K234" s="6">
        <v>2.8577636999999999E-2</v>
      </c>
      <c r="L234" s="6">
        <v>2.1905231000000001E-2</v>
      </c>
      <c r="M234" s="6">
        <v>2.44611E-2</v>
      </c>
    </row>
    <row r="235" spans="1:13" x14ac:dyDescent="0.25">
      <c r="A235" t="s">
        <v>116</v>
      </c>
      <c r="B235" s="3">
        <v>0</v>
      </c>
      <c r="C235" s="1">
        <v>5.9953280999999997E-2</v>
      </c>
      <c r="D235" s="3">
        <v>4.1817302000000001E-2</v>
      </c>
      <c r="E235">
        <v>6.1840412999999997E-2</v>
      </c>
      <c r="F235" s="1">
        <v>0.221284498</v>
      </c>
      <c r="G235" s="1">
        <v>5.1076304000000003E-2</v>
      </c>
      <c r="H235" s="2">
        <f t="shared" si="3"/>
        <v>0.334201215</v>
      </c>
      <c r="I235" s="6">
        <v>3.3182278000000003E-2</v>
      </c>
      <c r="J235" s="6">
        <v>9.3059506E-2</v>
      </c>
      <c r="K235" s="6">
        <v>2.6794119000000002E-2</v>
      </c>
      <c r="L235" s="6">
        <v>3.0042992000000001E-2</v>
      </c>
      <c r="M235" s="6">
        <v>1.1497459999999999E-2</v>
      </c>
    </row>
    <row r="236" spans="1:13" x14ac:dyDescent="0.25">
      <c r="A236" t="s">
        <v>117</v>
      </c>
      <c r="B236" s="3">
        <v>2.4550400000000001E-4</v>
      </c>
      <c r="C236" s="1">
        <v>7.1681704999999998E-2</v>
      </c>
      <c r="D236" s="3">
        <v>6.8908405000000006E-2</v>
      </c>
      <c r="E236">
        <v>3.0224786E-2</v>
      </c>
      <c r="F236" s="1">
        <v>0.22374306199999999</v>
      </c>
      <c r="G236" s="1">
        <v>9.1342433000000001E-2</v>
      </c>
      <c r="H236" s="2">
        <f t="shared" si="3"/>
        <v>0.345310281</v>
      </c>
      <c r="I236" s="6">
        <v>3.3290437999999999E-2</v>
      </c>
      <c r="J236" s="6">
        <v>9.4647623E-2</v>
      </c>
      <c r="K236" s="6">
        <v>1.3280882000000001E-2</v>
      </c>
      <c r="L236" s="6">
        <v>4.2645419999999996E-3</v>
      </c>
      <c r="M236" s="6">
        <v>9.1317159999999998E-3</v>
      </c>
    </row>
    <row r="237" spans="1:13" x14ac:dyDescent="0.25">
      <c r="A237" t="s">
        <v>342</v>
      </c>
      <c r="B237" s="3">
        <v>0</v>
      </c>
      <c r="C237" s="1">
        <v>6.2228660999999998E-2</v>
      </c>
      <c r="D237" s="3">
        <v>3.7794972000000003E-2</v>
      </c>
      <c r="E237">
        <v>0.112655847</v>
      </c>
      <c r="F237" s="1">
        <v>0.16282774699999999</v>
      </c>
      <c r="G237" s="1">
        <v>0.102469474</v>
      </c>
      <c r="H237" s="2">
        <f t="shared" si="3"/>
        <v>0.377953068</v>
      </c>
      <c r="I237" s="6">
        <v>4.2168253000000003E-2</v>
      </c>
      <c r="J237" s="6">
        <v>7.6496762999999995E-2</v>
      </c>
      <c r="K237" s="6">
        <v>1.3428938E-2</v>
      </c>
      <c r="L237" s="6">
        <v>7.0012360000000001E-3</v>
      </c>
      <c r="M237" s="6">
        <v>1.0390312000000001E-2</v>
      </c>
    </row>
    <row r="238" spans="1:13" x14ac:dyDescent="0.25">
      <c r="A238" t="s">
        <v>118</v>
      </c>
      <c r="B238" s="3">
        <v>0</v>
      </c>
      <c r="C238" s="1">
        <v>4.5618565999999999E-2</v>
      </c>
      <c r="D238" s="3">
        <v>6.1800913999999998E-2</v>
      </c>
      <c r="E238">
        <v>6.3177194000000006E-2</v>
      </c>
      <c r="F238" s="1">
        <v>0.15966398000000001</v>
      </c>
      <c r="G238" s="1">
        <v>8.6492781000000005E-2</v>
      </c>
      <c r="H238" s="2">
        <f t="shared" si="3"/>
        <v>0.30933395500000005</v>
      </c>
      <c r="I238" s="6">
        <v>3.3281645999999998E-2</v>
      </c>
      <c r="J238" s="6">
        <v>9.6240507000000003E-2</v>
      </c>
      <c r="K238" s="6">
        <v>3.3443091000000001E-2</v>
      </c>
      <c r="L238" s="6">
        <v>3.5805958999999998E-2</v>
      </c>
      <c r="M238" s="6">
        <v>2.1108525999999999E-2</v>
      </c>
    </row>
    <row r="239" spans="1:13" x14ac:dyDescent="0.25">
      <c r="A239" t="s">
        <v>343</v>
      </c>
      <c r="B239" s="3">
        <v>2.2707905E-2</v>
      </c>
      <c r="C239" s="1">
        <v>2.8715902000000001E-2</v>
      </c>
      <c r="D239" s="3">
        <v>7.6033131000000004E-2</v>
      </c>
      <c r="E239">
        <v>6.2628311000000006E-2</v>
      </c>
      <c r="F239" s="1">
        <v>0.17179262000000001</v>
      </c>
      <c r="G239" s="1">
        <v>0.120290462</v>
      </c>
      <c r="H239" s="2">
        <f t="shared" si="3"/>
        <v>0.35471139299999999</v>
      </c>
      <c r="I239" s="6">
        <v>3.0247016000000002E-2</v>
      </c>
      <c r="J239" s="6">
        <v>8.7908284000000003E-2</v>
      </c>
      <c r="K239" s="6">
        <v>2.0357928000000001E-2</v>
      </c>
      <c r="L239" s="6">
        <v>1.3915357E-2</v>
      </c>
      <c r="M239" s="6">
        <v>2.2270403000000001E-2</v>
      </c>
    </row>
    <row r="240" spans="1:13" x14ac:dyDescent="0.25">
      <c r="A240" t="s">
        <v>344</v>
      </c>
      <c r="B240" s="3">
        <v>2.7808889999999999E-2</v>
      </c>
      <c r="C240" s="1">
        <v>3.8234734999999999E-2</v>
      </c>
      <c r="D240" s="3">
        <v>8.5971218000000002E-2</v>
      </c>
      <c r="E240">
        <v>4.8926628E-2</v>
      </c>
      <c r="F240" s="1">
        <v>0.147050403</v>
      </c>
      <c r="G240" s="1">
        <v>0.12744509600000001</v>
      </c>
      <c r="H240" s="2">
        <f t="shared" si="3"/>
        <v>0.323422127</v>
      </c>
      <c r="I240" s="6">
        <v>3.1488464000000001E-2</v>
      </c>
      <c r="J240" s="6">
        <v>7.3341605000000004E-2</v>
      </c>
      <c r="K240" s="6">
        <v>2.4289343000000001E-2</v>
      </c>
      <c r="L240" s="6">
        <v>1.3101719E-2</v>
      </c>
      <c r="M240" s="6">
        <v>1.2109231E-2</v>
      </c>
    </row>
    <row r="241" spans="1:13" x14ac:dyDescent="0.25">
      <c r="A241" t="s">
        <v>119</v>
      </c>
      <c r="B241" s="3">
        <v>0</v>
      </c>
      <c r="C241" s="1">
        <v>7.4140050999999998E-2</v>
      </c>
      <c r="D241" s="3">
        <v>5.7644607E-2</v>
      </c>
      <c r="E241">
        <v>4.5589925000000003E-2</v>
      </c>
      <c r="F241" s="1">
        <v>0.16988699600000001</v>
      </c>
      <c r="G241" s="1">
        <v>9.1583549E-2</v>
      </c>
      <c r="H241" s="2">
        <f t="shared" si="3"/>
        <v>0.30706047000000003</v>
      </c>
      <c r="I241" s="6">
        <v>3.2580683999999999E-2</v>
      </c>
      <c r="J241" s="6">
        <v>6.7244327000000007E-2</v>
      </c>
      <c r="K241" s="6">
        <v>3.3651299000000003E-2</v>
      </c>
      <c r="L241" s="6">
        <v>9.565077E-3</v>
      </c>
      <c r="M241" s="6">
        <v>2.6967380000000002E-3</v>
      </c>
    </row>
    <row r="242" spans="1:13" x14ac:dyDescent="0.25">
      <c r="A242" t="s">
        <v>345</v>
      </c>
      <c r="B242" s="3">
        <v>0</v>
      </c>
      <c r="C242" s="1">
        <v>5.7737530000000002E-2</v>
      </c>
      <c r="D242" s="3">
        <v>6.5722543999999994E-2</v>
      </c>
      <c r="E242">
        <v>6.3332894000000001E-2</v>
      </c>
      <c r="F242" s="1">
        <v>0.13903924400000001</v>
      </c>
      <c r="G242" s="1">
        <v>0.10082123</v>
      </c>
      <c r="H242" s="2">
        <f t="shared" si="3"/>
        <v>0.30319336800000002</v>
      </c>
      <c r="I242" s="6">
        <v>3.5080864000000003E-2</v>
      </c>
      <c r="J242" s="6">
        <v>9.0283655000000004E-2</v>
      </c>
      <c r="K242" s="6">
        <v>3.1323410000000003E-2</v>
      </c>
      <c r="L242" s="6">
        <v>7.935269E-3</v>
      </c>
      <c r="M242" s="6">
        <v>1.8761495E-2</v>
      </c>
    </row>
    <row r="243" spans="1:13" x14ac:dyDescent="0.25">
      <c r="A243" t="s">
        <v>120</v>
      </c>
      <c r="B243" s="3">
        <v>1.1407500000000001E-3</v>
      </c>
      <c r="C243" s="1">
        <v>4.3972009999999999E-2</v>
      </c>
      <c r="D243" s="3">
        <v>0</v>
      </c>
      <c r="E243">
        <v>0.101771259</v>
      </c>
      <c r="F243" s="1">
        <v>8.0246643000000006E-2</v>
      </c>
      <c r="G243" s="1">
        <v>0.112475214</v>
      </c>
      <c r="H243" s="2">
        <f t="shared" si="3"/>
        <v>0.294493116</v>
      </c>
      <c r="I243" s="6">
        <v>4.5066107000000001E-2</v>
      </c>
      <c r="J243" s="6">
        <v>0.14682725299999999</v>
      </c>
      <c r="K243" s="6">
        <v>2.4707501E-2</v>
      </c>
      <c r="L243" s="6">
        <v>9.3328119999999994E-3</v>
      </c>
      <c r="M243" s="6">
        <v>0</v>
      </c>
    </row>
    <row r="244" spans="1:13" x14ac:dyDescent="0.25">
      <c r="A244" t="s">
        <v>346</v>
      </c>
      <c r="B244" s="3">
        <v>0</v>
      </c>
      <c r="C244" s="1">
        <v>5.8235194999999997E-2</v>
      </c>
      <c r="D244" s="3">
        <v>5.8051131999999998E-2</v>
      </c>
      <c r="E244">
        <v>6.2239225000000002E-2</v>
      </c>
      <c r="F244" s="1">
        <v>0.16298328400000001</v>
      </c>
      <c r="G244" s="1">
        <v>8.2961437999999998E-2</v>
      </c>
      <c r="H244" s="2">
        <f t="shared" si="3"/>
        <v>0.30818394700000001</v>
      </c>
      <c r="I244" s="6">
        <v>2.6076243999999998E-2</v>
      </c>
      <c r="J244" s="6">
        <v>0.100879519</v>
      </c>
      <c r="K244" s="6">
        <v>2.1457167999999999E-2</v>
      </c>
      <c r="L244" s="6">
        <v>0</v>
      </c>
      <c r="M244" s="6">
        <v>9.3455010000000008E-3</v>
      </c>
    </row>
    <row r="245" spans="1:13" x14ac:dyDescent="0.25">
      <c r="A245" t="s">
        <v>121</v>
      </c>
      <c r="B245" s="3">
        <v>0</v>
      </c>
      <c r="C245" s="1">
        <v>4.2905934E-2</v>
      </c>
      <c r="D245" s="3">
        <v>6.2360288E-2</v>
      </c>
      <c r="E245">
        <v>5.3686985999999999E-2</v>
      </c>
      <c r="F245" s="1">
        <v>0.164615182</v>
      </c>
      <c r="G245" s="1">
        <v>8.7782653000000002E-2</v>
      </c>
      <c r="H245" s="2">
        <f t="shared" si="3"/>
        <v>0.30608482100000001</v>
      </c>
      <c r="I245" s="6">
        <v>2.6447135E-2</v>
      </c>
      <c r="J245" s="6">
        <v>9.6118064000000003E-2</v>
      </c>
      <c r="K245" s="6">
        <v>2.2174362999999999E-2</v>
      </c>
      <c r="L245" s="6">
        <v>2.5189070000000001E-2</v>
      </c>
      <c r="M245" s="6">
        <v>1.2046894000000001E-2</v>
      </c>
    </row>
    <row r="246" spans="1:13" x14ac:dyDescent="0.25">
      <c r="A246" t="s">
        <v>122</v>
      </c>
      <c r="B246" s="3">
        <v>0</v>
      </c>
      <c r="C246" s="1">
        <v>4.8637917000000003E-2</v>
      </c>
      <c r="D246" s="3">
        <v>6.6735041999999994E-2</v>
      </c>
      <c r="E246">
        <v>5.6953993000000001E-2</v>
      </c>
      <c r="F246" s="1">
        <v>0.17757779000000001</v>
      </c>
      <c r="G246" s="1">
        <v>0.103694991</v>
      </c>
      <c r="H246" s="2">
        <f t="shared" si="3"/>
        <v>0.33822677400000001</v>
      </c>
      <c r="I246" s="6">
        <v>3.4758236999999997E-2</v>
      </c>
      <c r="J246" s="6">
        <v>9.2604298000000002E-2</v>
      </c>
      <c r="K246" s="6">
        <v>1.7912287999999998E-2</v>
      </c>
      <c r="L246" s="6">
        <v>2.0034350999999999E-2</v>
      </c>
      <c r="M246" s="6">
        <v>2.0631342E-2</v>
      </c>
    </row>
    <row r="247" spans="1:13" x14ac:dyDescent="0.25">
      <c r="A247" t="s">
        <v>347</v>
      </c>
      <c r="B247" s="3">
        <v>9.5007719999999993E-3</v>
      </c>
      <c r="C247" s="1">
        <v>5.6029131000000003E-2</v>
      </c>
      <c r="D247" s="3">
        <v>8.1206621000000007E-2</v>
      </c>
      <c r="E247">
        <v>8.8133860999999994E-2</v>
      </c>
      <c r="F247" s="1">
        <v>0.14521293199999999</v>
      </c>
      <c r="G247" s="1">
        <v>0.102383574</v>
      </c>
      <c r="H247" s="2">
        <f t="shared" si="3"/>
        <v>0.33573036700000003</v>
      </c>
      <c r="I247" s="6">
        <v>3.2123431000000001E-2</v>
      </c>
      <c r="J247" s="6">
        <v>8.7872670999999999E-2</v>
      </c>
      <c r="K247" s="6">
        <v>3.2274685999999997E-2</v>
      </c>
      <c r="L247" s="6">
        <v>1.4683141E-2</v>
      </c>
      <c r="M247" s="6">
        <v>1.2473127000000001E-2</v>
      </c>
    </row>
    <row r="248" spans="1:13" x14ac:dyDescent="0.25">
      <c r="A248" t="s">
        <v>123</v>
      </c>
      <c r="B248" s="3">
        <v>0</v>
      </c>
      <c r="C248" s="1">
        <v>6.1354051E-2</v>
      </c>
      <c r="D248" s="3">
        <v>5.8879411999999999E-2</v>
      </c>
      <c r="E248">
        <v>6.7989105999999994E-2</v>
      </c>
      <c r="F248" s="1">
        <v>0.150689987</v>
      </c>
      <c r="G248" s="1">
        <v>0.101052621</v>
      </c>
      <c r="H248" s="2">
        <f t="shared" si="3"/>
        <v>0.319731714</v>
      </c>
      <c r="I248" s="6">
        <v>3.5503866000000002E-2</v>
      </c>
      <c r="J248" s="6">
        <v>8.5106790000000002E-2</v>
      </c>
      <c r="K248" s="6">
        <v>2.7565994999999999E-2</v>
      </c>
      <c r="L248" s="6">
        <v>2.4007128999999999E-2</v>
      </c>
      <c r="M248" s="6">
        <v>1.7075191999999999E-2</v>
      </c>
    </row>
    <row r="249" spans="1:13" x14ac:dyDescent="0.25">
      <c r="A249" t="s">
        <v>348</v>
      </c>
      <c r="B249" s="3">
        <v>2.6773683E-2</v>
      </c>
      <c r="C249" s="1">
        <v>4.1001803000000003E-2</v>
      </c>
      <c r="D249" s="3">
        <v>4.2233339999999996E-3</v>
      </c>
      <c r="E249">
        <v>7.0447200000000001E-2</v>
      </c>
      <c r="F249" s="1">
        <v>0.15329389600000001</v>
      </c>
      <c r="G249" s="1">
        <v>9.7437181999999997E-2</v>
      </c>
      <c r="H249" s="2">
        <f t="shared" si="3"/>
        <v>0.32117827800000004</v>
      </c>
      <c r="I249" s="6">
        <v>3.1295115999999998E-2</v>
      </c>
      <c r="J249" s="6">
        <v>0.119698342</v>
      </c>
      <c r="K249" s="6">
        <v>7.0671839999999998E-3</v>
      </c>
      <c r="L249" s="6">
        <v>3.0515061999999999E-2</v>
      </c>
      <c r="M249" s="6">
        <v>4.1899750000000003E-3</v>
      </c>
    </row>
    <row r="250" spans="1:13" x14ac:dyDescent="0.25">
      <c r="A250" t="s">
        <v>349</v>
      </c>
      <c r="B250" s="3">
        <v>1.0184856000000001E-2</v>
      </c>
      <c r="C250" s="1">
        <v>3.1918338999999997E-2</v>
      </c>
      <c r="D250" s="3">
        <v>3.6757927000000003E-2</v>
      </c>
      <c r="E250">
        <v>0.115229496</v>
      </c>
      <c r="F250" s="1">
        <v>0.14080878799999999</v>
      </c>
      <c r="G250" s="1">
        <v>0.10044339400000001</v>
      </c>
      <c r="H250" s="2">
        <f t="shared" si="3"/>
        <v>0.35648167800000002</v>
      </c>
      <c r="I250" s="6">
        <v>4.4676188999999998E-2</v>
      </c>
      <c r="J250" s="6">
        <v>6.7726631999999995E-2</v>
      </c>
      <c r="K250" s="6">
        <v>3.2390269999999999E-2</v>
      </c>
      <c r="L250" s="6">
        <v>2.1187625000000002E-2</v>
      </c>
      <c r="M250" s="6">
        <v>6.791058E-3</v>
      </c>
    </row>
    <row r="251" spans="1:13" x14ac:dyDescent="0.25">
      <c r="A251" t="s">
        <v>124</v>
      </c>
      <c r="B251" s="3">
        <v>0</v>
      </c>
      <c r="C251" s="1">
        <v>3.0869509999999999E-2</v>
      </c>
      <c r="D251" s="3">
        <v>6.2082474999999998E-2</v>
      </c>
      <c r="E251">
        <v>6.7264806999999996E-2</v>
      </c>
      <c r="F251" s="1">
        <v>0.16496501399999999</v>
      </c>
      <c r="G251" s="1">
        <v>8.9590213000000002E-2</v>
      </c>
      <c r="H251" s="2">
        <f t="shared" si="3"/>
        <v>0.32182003400000003</v>
      </c>
      <c r="I251" s="6">
        <v>2.9948221000000001E-2</v>
      </c>
      <c r="J251" s="6">
        <v>9.0462672999999993E-2</v>
      </c>
      <c r="K251" s="6">
        <v>2.7572279000000002E-2</v>
      </c>
      <c r="L251" s="6">
        <v>3.5339559E-2</v>
      </c>
      <c r="M251" s="6">
        <v>1.2894154E-2</v>
      </c>
    </row>
    <row r="252" spans="1:13" x14ac:dyDescent="0.25">
      <c r="A252" t="s">
        <v>125</v>
      </c>
      <c r="B252" s="3">
        <v>6.1679200000000003E-3</v>
      </c>
      <c r="C252" s="1">
        <v>4.9597758999999998E-2</v>
      </c>
      <c r="D252" s="3">
        <v>3.2046934999999999E-2</v>
      </c>
      <c r="E252">
        <v>6.6242181999999997E-2</v>
      </c>
      <c r="F252" s="1">
        <v>0.15789990700000001</v>
      </c>
      <c r="G252" s="1">
        <v>9.4187255999999997E-2</v>
      </c>
      <c r="H252" s="2">
        <f t="shared" si="3"/>
        <v>0.31832934499999999</v>
      </c>
      <c r="I252" s="6">
        <v>3.7088707999999998E-2</v>
      </c>
      <c r="J252" s="6">
        <v>8.3233383999999994E-2</v>
      </c>
      <c r="K252" s="6">
        <v>1.8141061E-2</v>
      </c>
      <c r="L252" s="6">
        <v>4.7854299000000003E-2</v>
      </c>
      <c r="M252" s="6">
        <v>2.6217865999999999E-2</v>
      </c>
    </row>
    <row r="253" spans="1:13" x14ac:dyDescent="0.25">
      <c r="A253" t="s">
        <v>126</v>
      </c>
      <c r="B253" s="3">
        <v>0</v>
      </c>
      <c r="C253" s="1">
        <v>8.0711633000000005E-2</v>
      </c>
      <c r="D253" s="3">
        <v>3.3997281999999997E-2</v>
      </c>
      <c r="E253">
        <v>7.1704743000000001E-2</v>
      </c>
      <c r="F253" s="1">
        <v>0.17144662699999999</v>
      </c>
      <c r="G253" s="1">
        <v>7.6744094999999998E-2</v>
      </c>
      <c r="H253" s="2">
        <f t="shared" si="3"/>
        <v>0.31989546499999999</v>
      </c>
      <c r="I253" s="6">
        <v>3.9845869999999999E-2</v>
      </c>
      <c r="J253" s="6">
        <v>8.2172961000000003E-2</v>
      </c>
      <c r="K253" s="6">
        <v>1.1725380000000001E-2</v>
      </c>
      <c r="L253" s="6">
        <v>1.6051339000000001E-2</v>
      </c>
      <c r="M253" s="6">
        <v>1.3628483E-2</v>
      </c>
    </row>
    <row r="254" spans="1:13" x14ac:dyDescent="0.25">
      <c r="A254" t="s">
        <v>350</v>
      </c>
      <c r="B254" s="3">
        <v>8.8221020000000001E-3</v>
      </c>
      <c r="C254" s="1">
        <v>5.3810544000000002E-2</v>
      </c>
      <c r="D254" s="3">
        <v>7.4212722999999994E-2</v>
      </c>
      <c r="E254">
        <v>4.0934726999999997E-2</v>
      </c>
      <c r="F254" s="1">
        <v>0.15421321800000001</v>
      </c>
      <c r="G254" s="1">
        <v>8.5668442999999997E-2</v>
      </c>
      <c r="H254" s="2">
        <f t="shared" si="3"/>
        <v>0.28081638800000003</v>
      </c>
      <c r="I254" s="6">
        <v>3.5880584E-2</v>
      </c>
      <c r="J254" s="6">
        <v>5.5779754000000001E-2</v>
      </c>
      <c r="K254" s="6">
        <v>4.6809840999999998E-2</v>
      </c>
      <c r="L254" s="6">
        <v>1.0428333E-2</v>
      </c>
      <c r="M254" s="6">
        <v>1.1942220999999999E-2</v>
      </c>
    </row>
    <row r="255" spans="1:13" x14ac:dyDescent="0.25">
      <c r="A255" t="s">
        <v>127</v>
      </c>
      <c r="B255" s="3">
        <v>1.9947665E-2</v>
      </c>
      <c r="C255" s="1">
        <v>5.0327548E-2</v>
      </c>
      <c r="D255" s="3">
        <v>4.1558171999999997E-2</v>
      </c>
      <c r="E255">
        <v>6.1423213999999997E-2</v>
      </c>
      <c r="F255" s="1">
        <v>0.21975529499999999</v>
      </c>
      <c r="G255" s="1">
        <v>6.9309388999999999E-2</v>
      </c>
      <c r="H255" s="2">
        <f t="shared" si="3"/>
        <v>0.35048789799999996</v>
      </c>
      <c r="I255" s="6">
        <v>3.5917055000000003E-2</v>
      </c>
      <c r="J255" s="6">
        <v>8.8089070000000005E-2</v>
      </c>
      <c r="K255" s="6">
        <v>2.6184878000000002E-2</v>
      </c>
      <c r="L255" s="6">
        <v>3.3571785E-2</v>
      </c>
      <c r="M255" s="6">
        <v>1.7305688E-2</v>
      </c>
    </row>
    <row r="256" spans="1:13" x14ac:dyDescent="0.25">
      <c r="A256" t="s">
        <v>351</v>
      </c>
      <c r="B256" s="3">
        <v>3.3135795000000003E-2</v>
      </c>
      <c r="C256" s="1">
        <v>3.2389816000000002E-2</v>
      </c>
      <c r="D256" s="3">
        <v>0.14842825900000001</v>
      </c>
      <c r="E256">
        <v>7.4202870000000004E-2</v>
      </c>
      <c r="F256" s="1">
        <v>0.13327840099999999</v>
      </c>
      <c r="G256" s="1">
        <v>0.119779305</v>
      </c>
      <c r="H256" s="2">
        <f t="shared" si="3"/>
        <v>0.32726057600000003</v>
      </c>
      <c r="I256" s="6">
        <v>3.4586725999999998E-2</v>
      </c>
      <c r="J256" s="6">
        <v>6.7326806000000003E-2</v>
      </c>
      <c r="K256" s="6">
        <v>1.4211609E-2</v>
      </c>
      <c r="L256" s="6">
        <v>1.5481689999999999E-2</v>
      </c>
      <c r="M256" s="6">
        <v>9.5984550000000005E-3</v>
      </c>
    </row>
    <row r="257" spans="1:13" x14ac:dyDescent="0.25">
      <c r="A257" t="s">
        <v>352</v>
      </c>
      <c r="B257" s="3">
        <v>3.1508264000000001E-2</v>
      </c>
      <c r="C257" s="1">
        <v>3.1108572000000001E-2</v>
      </c>
      <c r="D257" s="3">
        <v>9.8582595999999995E-2</v>
      </c>
      <c r="E257">
        <v>5.9959829999999999E-2</v>
      </c>
      <c r="F257" s="1">
        <v>0.10554332900000001</v>
      </c>
      <c r="G257" s="1">
        <v>0.116025035</v>
      </c>
      <c r="H257" s="2">
        <f t="shared" si="3"/>
        <v>0.28152819400000001</v>
      </c>
      <c r="I257" s="6">
        <v>4.2267685999999999E-2</v>
      </c>
      <c r="J257" s="6">
        <v>5.2796968E-2</v>
      </c>
      <c r="K257" s="6">
        <v>2.6620596E-2</v>
      </c>
      <c r="L257" s="6">
        <v>1.4568935E-2</v>
      </c>
      <c r="M257" s="6">
        <v>1.4953757999999999E-2</v>
      </c>
    </row>
    <row r="258" spans="1:13" x14ac:dyDescent="0.25">
      <c r="A258" t="s">
        <v>353</v>
      </c>
      <c r="B258" s="3">
        <v>0</v>
      </c>
      <c r="C258" s="1">
        <v>5.2460461E-2</v>
      </c>
      <c r="D258" s="3">
        <v>6.7923412000000002E-2</v>
      </c>
      <c r="E258">
        <v>6.2244832E-2</v>
      </c>
      <c r="F258" s="1">
        <v>0.167042158</v>
      </c>
      <c r="G258" s="1">
        <v>0.111213782</v>
      </c>
      <c r="H258" s="2">
        <f t="shared" si="3"/>
        <v>0.34050077200000001</v>
      </c>
      <c r="I258" s="6">
        <v>3.4355824E-2</v>
      </c>
      <c r="J258" s="6">
        <v>4.5972807999999997E-2</v>
      </c>
      <c r="K258" s="6">
        <v>1.2479090999999999E-2</v>
      </c>
      <c r="L258" s="6">
        <v>2.1492059000000001E-2</v>
      </c>
      <c r="M258" s="6">
        <v>2.0511829999999998E-3</v>
      </c>
    </row>
    <row r="259" spans="1:13" x14ac:dyDescent="0.25">
      <c r="A259" t="s">
        <v>354</v>
      </c>
      <c r="B259" s="3">
        <v>0</v>
      </c>
      <c r="C259" s="1">
        <v>4.3520007999999999E-2</v>
      </c>
      <c r="D259" s="3">
        <v>5.7073469000000002E-2</v>
      </c>
      <c r="E259">
        <v>7.1004640999999993E-2</v>
      </c>
      <c r="F259" s="1">
        <v>0.13787194699999999</v>
      </c>
      <c r="G259" s="1">
        <v>9.8740148999999999E-2</v>
      </c>
      <c r="H259" s="2">
        <f t="shared" ref="H259:H322" si="4">SUM(E259:G259)</f>
        <v>0.30761673699999997</v>
      </c>
      <c r="I259" s="6">
        <v>3.1864671999999997E-2</v>
      </c>
      <c r="J259" s="6">
        <v>9.7880253E-2</v>
      </c>
      <c r="K259" s="6">
        <v>1.6838868E-2</v>
      </c>
      <c r="L259" s="6">
        <v>6.8314439999999999E-3</v>
      </c>
      <c r="M259" s="6">
        <v>1.4590802E-2</v>
      </c>
    </row>
    <row r="260" spans="1:13" x14ac:dyDescent="0.25">
      <c r="A260" t="s">
        <v>355</v>
      </c>
      <c r="B260" s="3">
        <v>0</v>
      </c>
      <c r="C260" s="1">
        <v>6.2925705999999998E-2</v>
      </c>
      <c r="D260" s="3">
        <v>6.3326836999999997E-2</v>
      </c>
      <c r="E260">
        <v>5.3248852999999999E-2</v>
      </c>
      <c r="F260" s="1">
        <v>0.153331629</v>
      </c>
      <c r="G260" s="1">
        <v>0.115829052</v>
      </c>
      <c r="H260" s="2">
        <f t="shared" si="4"/>
        <v>0.322409534</v>
      </c>
      <c r="I260" s="6">
        <v>3.6266092999999999E-2</v>
      </c>
      <c r="J260" s="6">
        <v>8.5371318000000002E-2</v>
      </c>
      <c r="K260" s="6">
        <v>1.7493274999999999E-2</v>
      </c>
      <c r="L260" s="6">
        <v>2.1986371000000001E-2</v>
      </c>
      <c r="M260" s="6">
        <v>8.4331149999999997E-3</v>
      </c>
    </row>
    <row r="261" spans="1:13" x14ac:dyDescent="0.25">
      <c r="A261" t="s">
        <v>356</v>
      </c>
      <c r="B261" s="3">
        <v>0</v>
      </c>
      <c r="C261" s="1">
        <v>7.7856833E-2</v>
      </c>
      <c r="D261" s="3">
        <v>6.3878501000000004E-2</v>
      </c>
      <c r="E261">
        <v>9.5704546000000001E-2</v>
      </c>
      <c r="F261" s="1">
        <v>0.12743132700000001</v>
      </c>
      <c r="G261" s="1">
        <v>0.107476319</v>
      </c>
      <c r="H261" s="2">
        <f t="shared" si="4"/>
        <v>0.33061219200000003</v>
      </c>
      <c r="I261" s="6">
        <v>3.2346895000000001E-2</v>
      </c>
      <c r="J261" s="6">
        <v>5.5951091000000001E-2</v>
      </c>
      <c r="K261" s="6">
        <v>1.0884292E-2</v>
      </c>
      <c r="L261" s="6">
        <v>3.995348E-2</v>
      </c>
      <c r="M261" s="6">
        <v>1.1460803E-2</v>
      </c>
    </row>
    <row r="262" spans="1:13" x14ac:dyDescent="0.25">
      <c r="A262" t="s">
        <v>128</v>
      </c>
      <c r="B262" s="3">
        <v>0</v>
      </c>
      <c r="C262" s="1">
        <v>5.0096978E-2</v>
      </c>
      <c r="D262" s="3">
        <v>7.5827669E-2</v>
      </c>
      <c r="E262">
        <v>6.4585649999999994E-2</v>
      </c>
      <c r="F262" s="1">
        <v>0.12738522499999999</v>
      </c>
      <c r="G262" s="1">
        <v>0.108146995</v>
      </c>
      <c r="H262" s="2">
        <f t="shared" si="4"/>
        <v>0.30011787000000001</v>
      </c>
      <c r="I262" s="6">
        <v>5.4965625999999997E-2</v>
      </c>
      <c r="J262" s="6">
        <v>8.9676183000000007E-2</v>
      </c>
      <c r="K262" s="6">
        <v>4.0983558000000003E-2</v>
      </c>
      <c r="L262" s="6">
        <v>1.2003651000000001E-2</v>
      </c>
      <c r="M262" s="6">
        <v>1.3528544E-2</v>
      </c>
    </row>
    <row r="263" spans="1:13" x14ac:dyDescent="0.25">
      <c r="A263" t="s">
        <v>129</v>
      </c>
      <c r="B263" s="3">
        <v>0</v>
      </c>
      <c r="C263" s="1">
        <v>5.2527984E-2</v>
      </c>
      <c r="D263" s="3">
        <v>6.6414393000000002E-2</v>
      </c>
      <c r="E263">
        <v>8.0120149000000002E-2</v>
      </c>
      <c r="F263" s="1">
        <v>0.15599189599999999</v>
      </c>
      <c r="G263" s="1">
        <v>8.2664591999999995E-2</v>
      </c>
      <c r="H263" s="2">
        <f t="shared" si="4"/>
        <v>0.31877663699999997</v>
      </c>
      <c r="I263" s="6">
        <v>3.3686313000000002E-2</v>
      </c>
      <c r="J263" s="6">
        <v>7.5466759999999994E-2</v>
      </c>
      <c r="K263" s="6">
        <v>1.9148294999999999E-2</v>
      </c>
      <c r="L263" s="6">
        <v>1.6508037999999999E-2</v>
      </c>
      <c r="M263" s="6">
        <v>1.3798523E-2</v>
      </c>
    </row>
    <row r="264" spans="1:13" x14ac:dyDescent="0.25">
      <c r="A264" t="s">
        <v>130</v>
      </c>
      <c r="B264" s="3">
        <v>8.139627E-3</v>
      </c>
      <c r="C264" s="1">
        <v>6.1230369999999999E-2</v>
      </c>
      <c r="D264" s="3">
        <v>7.9273434000000004E-2</v>
      </c>
      <c r="E264">
        <v>3.3582041E-2</v>
      </c>
      <c r="F264" s="1">
        <v>0.168730515</v>
      </c>
      <c r="G264" s="1">
        <v>0.12220376500000001</v>
      </c>
      <c r="H264" s="2">
        <f t="shared" si="4"/>
        <v>0.324516321</v>
      </c>
      <c r="I264" s="6">
        <v>4.0938523999999997E-2</v>
      </c>
      <c r="J264" s="6">
        <v>8.5582252999999997E-2</v>
      </c>
      <c r="K264" s="6">
        <v>2.3567751000000001E-2</v>
      </c>
      <c r="L264" s="6">
        <v>9.4229459999999998E-3</v>
      </c>
      <c r="M264" s="6">
        <v>1.4926712999999999E-2</v>
      </c>
    </row>
    <row r="265" spans="1:13" x14ac:dyDescent="0.25">
      <c r="A265" t="s">
        <v>357</v>
      </c>
      <c r="B265" s="3">
        <v>0</v>
      </c>
      <c r="C265" s="1">
        <v>7.0389014E-2</v>
      </c>
      <c r="D265" s="3">
        <v>0.103687504</v>
      </c>
      <c r="E265">
        <v>2.9015707000000002E-2</v>
      </c>
      <c r="F265" s="1">
        <v>0.15382968399999999</v>
      </c>
      <c r="G265" s="1">
        <v>0.11646057999999999</v>
      </c>
      <c r="H265" s="2">
        <f t="shared" si="4"/>
        <v>0.299305971</v>
      </c>
      <c r="I265" s="6">
        <v>3.8458896999999999E-2</v>
      </c>
      <c r="J265" s="6">
        <v>7.3940088000000001E-2</v>
      </c>
      <c r="K265" s="6">
        <v>2.6714307999999999E-2</v>
      </c>
      <c r="L265" s="6">
        <v>6.7240549999999996E-3</v>
      </c>
      <c r="M265" s="6">
        <v>1.0960278E-2</v>
      </c>
    </row>
    <row r="266" spans="1:13" x14ac:dyDescent="0.25">
      <c r="A266" t="s">
        <v>358</v>
      </c>
      <c r="B266" s="3">
        <v>0</v>
      </c>
      <c r="C266" s="1">
        <v>7.8694144999999993E-2</v>
      </c>
      <c r="D266" s="3">
        <v>0.10649399</v>
      </c>
      <c r="E266">
        <v>7.4478284000000006E-2</v>
      </c>
      <c r="F266" s="1">
        <v>0.11064452499999999</v>
      </c>
      <c r="G266" s="1">
        <v>9.9221288000000005E-2</v>
      </c>
      <c r="H266" s="2">
        <f t="shared" si="4"/>
        <v>0.28434409700000002</v>
      </c>
      <c r="I266" s="6">
        <v>4.2018769999999997E-2</v>
      </c>
      <c r="J266" s="6">
        <v>8.5741990000000004E-2</v>
      </c>
      <c r="K266" s="6">
        <v>3.3688030000000001E-2</v>
      </c>
      <c r="L266" s="6">
        <v>0</v>
      </c>
      <c r="M266" s="6">
        <v>2.3208060999999999E-2</v>
      </c>
    </row>
    <row r="267" spans="1:13" x14ac:dyDescent="0.25">
      <c r="A267" t="s">
        <v>359</v>
      </c>
      <c r="B267" s="3">
        <v>0</v>
      </c>
      <c r="C267" s="1">
        <v>4.2435469000000003E-2</v>
      </c>
      <c r="D267" s="3">
        <v>7.9066115000000006E-2</v>
      </c>
      <c r="E267">
        <v>0.15113154500000001</v>
      </c>
      <c r="F267" s="1">
        <v>0.16364635499999999</v>
      </c>
      <c r="G267" s="1">
        <v>0.10401035</v>
      </c>
      <c r="H267" s="2">
        <f t="shared" si="4"/>
        <v>0.41878824999999997</v>
      </c>
      <c r="I267" s="6">
        <v>4.3495894E-2</v>
      </c>
      <c r="J267" s="6">
        <v>4.2684238999999999E-2</v>
      </c>
      <c r="K267" s="6">
        <v>1.9078654E-2</v>
      </c>
      <c r="L267" s="6">
        <v>3.4022840000000002E-3</v>
      </c>
      <c r="M267" s="6">
        <v>0</v>
      </c>
    </row>
    <row r="268" spans="1:13" x14ac:dyDescent="0.25">
      <c r="A268" t="s">
        <v>360</v>
      </c>
      <c r="B268" s="3">
        <v>6.9979730000000002E-3</v>
      </c>
      <c r="C268" s="1">
        <v>1.7096621999999999E-2</v>
      </c>
      <c r="D268" s="3">
        <v>7.1590058999999998E-2</v>
      </c>
      <c r="E268">
        <v>0.14019985099999999</v>
      </c>
      <c r="F268" s="1">
        <v>0.13223517300000001</v>
      </c>
      <c r="G268" s="1">
        <v>0.12370724900000001</v>
      </c>
      <c r="H268" s="2">
        <f t="shared" si="4"/>
        <v>0.39614227299999999</v>
      </c>
      <c r="I268" s="6">
        <v>3.4803859999999999E-2</v>
      </c>
      <c r="J268" s="6">
        <v>6.4702703E-2</v>
      </c>
      <c r="K268" s="6">
        <v>1.7313143E-2</v>
      </c>
      <c r="L268" s="6">
        <v>2.4861613000000001E-2</v>
      </c>
      <c r="M268" s="6">
        <v>6.073185E-3</v>
      </c>
    </row>
    <row r="269" spans="1:13" x14ac:dyDescent="0.25">
      <c r="A269" t="s">
        <v>361</v>
      </c>
      <c r="B269" s="3">
        <v>1.5426758E-2</v>
      </c>
      <c r="C269" s="1">
        <v>4.8731613999999999E-2</v>
      </c>
      <c r="D269" s="3">
        <v>2.206089E-2</v>
      </c>
      <c r="E269">
        <v>8.8969874000000004E-2</v>
      </c>
      <c r="F269" s="1">
        <v>0.17371128799999999</v>
      </c>
      <c r="G269" s="1">
        <v>0.113340095</v>
      </c>
      <c r="H269" s="2">
        <f t="shared" si="4"/>
        <v>0.376021257</v>
      </c>
      <c r="I269" s="6">
        <v>3.3041905000000003E-2</v>
      </c>
      <c r="J269" s="6">
        <v>7.3017779000000005E-2</v>
      </c>
      <c r="K269" s="6">
        <v>1.2979886E-2</v>
      </c>
      <c r="L269" s="6">
        <v>3.5039564000000002E-2</v>
      </c>
      <c r="M269" s="6">
        <v>1.316729E-3</v>
      </c>
    </row>
    <row r="270" spans="1:13" x14ac:dyDescent="0.25">
      <c r="A270" t="s">
        <v>362</v>
      </c>
      <c r="B270" s="3">
        <v>2.5918235000000001E-2</v>
      </c>
      <c r="C270" s="1">
        <v>5.9144508999999998E-2</v>
      </c>
      <c r="D270" s="3">
        <v>8.2356573000000002E-2</v>
      </c>
      <c r="E270">
        <v>5.9056654E-2</v>
      </c>
      <c r="F270" s="1">
        <v>0.14821312</v>
      </c>
      <c r="G270" s="1">
        <v>0.122514234</v>
      </c>
      <c r="H270" s="2">
        <f t="shared" si="4"/>
        <v>0.32978400800000002</v>
      </c>
      <c r="I270" s="6">
        <v>3.1099074000000001E-2</v>
      </c>
      <c r="J270" s="6">
        <v>8.9963848999999999E-2</v>
      </c>
      <c r="K270" s="6">
        <v>2.5909967999999999E-2</v>
      </c>
      <c r="L270" s="6">
        <v>1.4022254E-2</v>
      </c>
      <c r="M270" s="6">
        <v>0</v>
      </c>
    </row>
    <row r="271" spans="1:13" x14ac:dyDescent="0.25">
      <c r="A271" t="s">
        <v>363</v>
      </c>
      <c r="B271" s="3">
        <v>2.6018917999999999E-2</v>
      </c>
      <c r="C271" s="1">
        <v>3.5884010000000001E-2</v>
      </c>
      <c r="D271" s="3">
        <v>0.10499657900000001</v>
      </c>
      <c r="E271">
        <v>2.3324674E-2</v>
      </c>
      <c r="F271" s="1">
        <v>0.11865329099999999</v>
      </c>
      <c r="G271" s="1">
        <v>0.12105138</v>
      </c>
      <c r="H271" s="2">
        <f t="shared" si="4"/>
        <v>0.26302934499999997</v>
      </c>
      <c r="I271" s="6">
        <v>2.2887932999999999E-2</v>
      </c>
      <c r="J271" s="6">
        <v>8.5332620999999997E-2</v>
      </c>
      <c r="K271" s="6">
        <v>3.8520857999999998E-2</v>
      </c>
      <c r="L271" s="6">
        <v>9.7901559999999995E-3</v>
      </c>
      <c r="M271" s="6">
        <v>9.2368810000000006E-3</v>
      </c>
    </row>
    <row r="272" spans="1:13" x14ac:dyDescent="0.25">
      <c r="A272" t="s">
        <v>364</v>
      </c>
      <c r="B272" s="3">
        <v>8.2886239999999996E-3</v>
      </c>
      <c r="C272" s="1">
        <v>4.2189931999999999E-2</v>
      </c>
      <c r="D272" s="3">
        <v>6.3819032999999997E-2</v>
      </c>
      <c r="E272">
        <v>0.118912211</v>
      </c>
      <c r="F272" s="1">
        <v>0.15202031899999999</v>
      </c>
      <c r="G272" s="1">
        <v>0.10974294800000001</v>
      </c>
      <c r="H272" s="2">
        <f t="shared" si="4"/>
        <v>0.38067547800000001</v>
      </c>
      <c r="I272" s="6">
        <v>4.2126291000000003E-2</v>
      </c>
      <c r="J272" s="6">
        <v>4.3549524999999999E-2</v>
      </c>
      <c r="K272" s="6">
        <v>2.3902240000000002E-2</v>
      </c>
      <c r="L272" s="6">
        <v>9.0082960000000007E-3</v>
      </c>
      <c r="M272" s="6">
        <v>2.5908559999999999E-3</v>
      </c>
    </row>
    <row r="273" spans="1:13" x14ac:dyDescent="0.25">
      <c r="A273" t="s">
        <v>365</v>
      </c>
      <c r="B273" s="3">
        <v>1.0523785000000001E-2</v>
      </c>
      <c r="C273" s="1">
        <v>3.0839116E-2</v>
      </c>
      <c r="D273" s="3">
        <v>7.5463840000000004E-2</v>
      </c>
      <c r="E273">
        <v>3.8166533000000002E-2</v>
      </c>
      <c r="F273" s="1">
        <v>0.11909093699999999</v>
      </c>
      <c r="G273" s="1">
        <v>0.11818912299999999</v>
      </c>
      <c r="H273" s="2">
        <f t="shared" si="4"/>
        <v>0.27544659300000002</v>
      </c>
      <c r="I273" s="6">
        <v>3.5210496000000001E-2</v>
      </c>
      <c r="J273" s="6">
        <v>7.9458107E-2</v>
      </c>
      <c r="K273" s="6">
        <v>1.629123E-2</v>
      </c>
      <c r="L273" s="6">
        <v>2.4451739E-2</v>
      </c>
      <c r="M273" s="6">
        <v>1.4226961999999999E-2</v>
      </c>
    </row>
    <row r="274" spans="1:13" x14ac:dyDescent="0.25">
      <c r="A274" t="s">
        <v>131</v>
      </c>
      <c r="B274" s="3">
        <v>0</v>
      </c>
      <c r="C274" s="1">
        <v>3.3067267999999997E-2</v>
      </c>
      <c r="D274" s="3">
        <v>5.3841998000000002E-2</v>
      </c>
      <c r="E274">
        <v>4.0627097000000001E-2</v>
      </c>
      <c r="F274" s="1">
        <v>0.17643494100000001</v>
      </c>
      <c r="G274" s="1">
        <v>8.1078804000000004E-2</v>
      </c>
      <c r="H274" s="2">
        <f t="shared" si="4"/>
        <v>0.29814084200000002</v>
      </c>
      <c r="I274" s="6">
        <v>3.7633575000000002E-2</v>
      </c>
      <c r="J274" s="6">
        <v>0.10991676</v>
      </c>
      <c r="K274" s="6">
        <v>3.2437055999999999E-2</v>
      </c>
      <c r="L274" s="6">
        <v>3.6781425999999999E-2</v>
      </c>
      <c r="M274" s="6">
        <v>1.7161342E-2</v>
      </c>
    </row>
    <row r="275" spans="1:13" x14ac:dyDescent="0.25">
      <c r="A275" t="s">
        <v>366</v>
      </c>
      <c r="B275" s="3">
        <v>0</v>
      </c>
      <c r="C275" s="1">
        <v>4.8395791000000001E-2</v>
      </c>
      <c r="D275" s="3">
        <v>7.3840618999999996E-2</v>
      </c>
      <c r="E275">
        <v>8.9509053000000005E-2</v>
      </c>
      <c r="F275" s="1">
        <v>0.163634424</v>
      </c>
      <c r="G275" s="1">
        <v>0.105401068</v>
      </c>
      <c r="H275" s="2">
        <f t="shared" si="4"/>
        <v>0.35854454499999999</v>
      </c>
      <c r="I275" s="6">
        <v>3.6649763000000002E-2</v>
      </c>
      <c r="J275" s="6">
        <v>6.1035409999999998E-2</v>
      </c>
      <c r="K275" s="6">
        <v>1.8631833E-2</v>
      </c>
      <c r="L275" s="6">
        <v>3.4900637999999998E-2</v>
      </c>
      <c r="M275" s="6">
        <v>0</v>
      </c>
    </row>
    <row r="276" spans="1:13" x14ac:dyDescent="0.25">
      <c r="A276" t="s">
        <v>367</v>
      </c>
      <c r="B276" s="3">
        <v>0</v>
      </c>
      <c r="C276" s="1">
        <v>5.2897668000000002E-2</v>
      </c>
      <c r="D276" s="3">
        <v>5.7472756E-2</v>
      </c>
      <c r="E276">
        <v>9.5768829E-2</v>
      </c>
      <c r="F276" s="1">
        <v>0.165248595</v>
      </c>
      <c r="G276" s="1">
        <v>9.2933354999999995E-2</v>
      </c>
      <c r="H276" s="2">
        <f t="shared" si="4"/>
        <v>0.35395077899999999</v>
      </c>
      <c r="I276" s="6">
        <v>3.8302932999999997E-2</v>
      </c>
      <c r="J276" s="6">
        <v>6.2386325999999999E-2</v>
      </c>
      <c r="K276" s="6">
        <v>2.5974773E-2</v>
      </c>
      <c r="L276" s="6">
        <v>2.6667836E-2</v>
      </c>
      <c r="M276" s="6">
        <v>3.4469380000000001E-3</v>
      </c>
    </row>
    <row r="277" spans="1:13" x14ac:dyDescent="0.25">
      <c r="A277" t="s">
        <v>368</v>
      </c>
      <c r="B277" s="3">
        <v>0</v>
      </c>
      <c r="C277" s="1">
        <v>5.0308783000000003E-2</v>
      </c>
      <c r="D277" s="3">
        <v>6.4074642000000001E-2</v>
      </c>
      <c r="E277">
        <v>5.7092677000000001E-2</v>
      </c>
      <c r="F277" s="1">
        <v>0.15941596999999999</v>
      </c>
      <c r="G277" s="1">
        <v>8.0591271000000006E-2</v>
      </c>
      <c r="H277" s="2">
        <f t="shared" si="4"/>
        <v>0.29709991800000002</v>
      </c>
      <c r="I277" s="6">
        <v>3.2413347000000002E-2</v>
      </c>
      <c r="J277" s="6">
        <v>9.6713754999999998E-2</v>
      </c>
      <c r="K277" s="6">
        <v>1.9474330000000002E-2</v>
      </c>
      <c r="L277" s="6">
        <v>2.1921092999999999E-2</v>
      </c>
      <c r="M277" s="6">
        <v>1.8519490999999999E-2</v>
      </c>
    </row>
    <row r="278" spans="1:13" x14ac:dyDescent="0.25">
      <c r="A278" t="s">
        <v>369</v>
      </c>
      <c r="B278" s="3">
        <v>0</v>
      </c>
      <c r="C278" s="1">
        <v>5.2075128999999998E-2</v>
      </c>
      <c r="D278" s="3">
        <v>7.2717441999999993E-2</v>
      </c>
      <c r="E278">
        <v>9.2683711000000002E-2</v>
      </c>
      <c r="F278" s="1">
        <v>0.15378628799999999</v>
      </c>
      <c r="G278" s="1">
        <v>8.2332372000000001E-2</v>
      </c>
      <c r="H278" s="2">
        <f t="shared" si="4"/>
        <v>0.32880237099999998</v>
      </c>
      <c r="I278" s="6">
        <v>2.565953E-2</v>
      </c>
      <c r="J278" s="6">
        <v>3.7876897999999999E-2</v>
      </c>
      <c r="K278" s="6">
        <v>2.6195586E-2</v>
      </c>
      <c r="L278" s="6">
        <v>1.8730103000000001E-2</v>
      </c>
      <c r="M278" s="6">
        <v>4.4590799999999998E-3</v>
      </c>
    </row>
    <row r="279" spans="1:13" x14ac:dyDescent="0.25">
      <c r="A279" t="s">
        <v>132</v>
      </c>
      <c r="B279" s="3">
        <v>0</v>
      </c>
      <c r="C279" s="1">
        <v>5.7236821E-2</v>
      </c>
      <c r="D279" s="3">
        <v>4.9569361999999999E-2</v>
      </c>
      <c r="E279">
        <v>6.1706839999999999E-2</v>
      </c>
      <c r="F279" s="1">
        <v>0.16011848100000001</v>
      </c>
      <c r="G279" s="1">
        <v>0.10386883</v>
      </c>
      <c r="H279" s="2">
        <f t="shared" si="4"/>
        <v>0.32569415099999999</v>
      </c>
      <c r="I279" s="6">
        <v>2.9894833999999999E-2</v>
      </c>
      <c r="J279" s="6">
        <v>9.9692857999999995E-2</v>
      </c>
      <c r="K279" s="6">
        <v>2.4178623999999999E-2</v>
      </c>
      <c r="L279" s="6">
        <v>1.5121684999999999E-2</v>
      </c>
      <c r="M279" s="6">
        <v>1.9405959E-2</v>
      </c>
    </row>
    <row r="280" spans="1:13" x14ac:dyDescent="0.25">
      <c r="A280" t="s">
        <v>133</v>
      </c>
      <c r="B280" s="3">
        <v>0</v>
      </c>
      <c r="C280" s="1">
        <v>6.6593824999999995E-2</v>
      </c>
      <c r="D280" s="3">
        <v>2.6589030999999999E-2</v>
      </c>
      <c r="E280">
        <v>7.2030106999999996E-2</v>
      </c>
      <c r="F280" s="1">
        <v>0.188168848</v>
      </c>
      <c r="G280" s="1">
        <v>9.4683291000000003E-2</v>
      </c>
      <c r="H280" s="2">
        <f t="shared" si="4"/>
        <v>0.35488224600000001</v>
      </c>
      <c r="I280" s="6">
        <v>4.2349347000000002E-2</v>
      </c>
      <c r="J280" s="6">
        <v>8.3090366999999998E-2</v>
      </c>
      <c r="K280" s="6">
        <v>2.5980288000000001E-2</v>
      </c>
      <c r="L280" s="6">
        <v>3.5050236999999998E-2</v>
      </c>
      <c r="M280" s="6">
        <v>1.6593507E-2</v>
      </c>
    </row>
    <row r="281" spans="1:13" x14ac:dyDescent="0.25">
      <c r="A281" t="s">
        <v>134</v>
      </c>
      <c r="B281" s="3">
        <v>0</v>
      </c>
      <c r="C281" s="1">
        <v>6.7471568999999995E-2</v>
      </c>
      <c r="D281" s="3">
        <v>5.1633756000000003E-2</v>
      </c>
      <c r="E281">
        <v>0.13253327500000001</v>
      </c>
      <c r="F281" s="1">
        <v>0.18959685900000001</v>
      </c>
      <c r="G281" s="1">
        <v>9.8896367999999998E-2</v>
      </c>
      <c r="H281" s="2">
        <f t="shared" si="4"/>
        <v>0.42102650200000002</v>
      </c>
      <c r="I281" s="6">
        <v>3.2110197E-2</v>
      </c>
      <c r="J281" s="6">
        <v>8.5269716999999995E-2</v>
      </c>
      <c r="K281" s="6">
        <v>9.6145139999999994E-3</v>
      </c>
      <c r="L281" s="6">
        <v>0</v>
      </c>
      <c r="M281" s="6">
        <v>1.17E-5</v>
      </c>
    </row>
    <row r="282" spans="1:13" x14ac:dyDescent="0.25">
      <c r="A282" t="s">
        <v>135</v>
      </c>
      <c r="B282" s="3">
        <v>0</v>
      </c>
      <c r="C282" s="1">
        <v>6.1374331999999997E-2</v>
      </c>
      <c r="D282" s="3">
        <v>7.4798368000000004E-2</v>
      </c>
      <c r="E282">
        <v>7.4437921000000004E-2</v>
      </c>
      <c r="F282" s="1">
        <v>0.12981226100000001</v>
      </c>
      <c r="G282" s="1">
        <v>8.8629243999999996E-2</v>
      </c>
      <c r="H282" s="2">
        <f t="shared" si="4"/>
        <v>0.292879426</v>
      </c>
      <c r="I282" s="6">
        <v>2.5089362E-2</v>
      </c>
      <c r="J282" s="6">
        <v>8.1435059000000004E-2</v>
      </c>
      <c r="K282" s="6">
        <v>2.5245389E-2</v>
      </c>
      <c r="L282" s="6">
        <v>0</v>
      </c>
      <c r="M282" s="6">
        <v>0</v>
      </c>
    </row>
    <row r="283" spans="1:13" x14ac:dyDescent="0.25">
      <c r="A283" t="s">
        <v>136</v>
      </c>
      <c r="B283" s="3">
        <v>1.2308062999999999E-2</v>
      </c>
      <c r="C283" s="1">
        <v>3.1817772000000001E-2</v>
      </c>
      <c r="D283" s="3">
        <v>7.9033099999999995E-2</v>
      </c>
      <c r="E283">
        <v>5.5172855999999999E-2</v>
      </c>
      <c r="F283" s="1">
        <v>0.172567946</v>
      </c>
      <c r="G283" s="1">
        <v>0.124147838</v>
      </c>
      <c r="H283" s="2">
        <f t="shared" si="4"/>
        <v>0.35188863999999997</v>
      </c>
      <c r="I283" s="6">
        <v>4.6198257999999999E-2</v>
      </c>
      <c r="J283" s="6">
        <v>6.8363706999999996E-2</v>
      </c>
      <c r="K283" s="6">
        <v>2.0526971000000001E-2</v>
      </c>
      <c r="L283" s="6">
        <v>3.2973914999999999E-2</v>
      </c>
      <c r="M283" s="6">
        <v>1.1515600000000001E-2</v>
      </c>
    </row>
    <row r="284" spans="1:13" x14ac:dyDescent="0.25">
      <c r="A284" t="s">
        <v>137</v>
      </c>
      <c r="B284" s="3">
        <v>0</v>
      </c>
      <c r="C284" s="1">
        <v>5.8560454999999997E-2</v>
      </c>
      <c r="D284" s="3">
        <v>2.4343943999999999E-2</v>
      </c>
      <c r="E284">
        <v>7.1904009000000005E-2</v>
      </c>
      <c r="F284" s="1">
        <v>0.153350924</v>
      </c>
      <c r="G284" s="1">
        <v>0.10246445</v>
      </c>
      <c r="H284" s="2">
        <f t="shared" si="4"/>
        <v>0.32771938299999998</v>
      </c>
      <c r="I284" s="6">
        <v>4.0023629999999998E-2</v>
      </c>
      <c r="J284" s="6">
        <v>7.9339282999999997E-2</v>
      </c>
      <c r="K284" s="6">
        <v>4.3413139000000003E-2</v>
      </c>
      <c r="L284" s="6">
        <v>3.0896361000000001E-2</v>
      </c>
      <c r="M284" s="6">
        <v>1.0795762E-2</v>
      </c>
    </row>
    <row r="285" spans="1:13" x14ac:dyDescent="0.25">
      <c r="A285" t="s">
        <v>138</v>
      </c>
      <c r="B285" s="3">
        <v>0</v>
      </c>
      <c r="C285" s="1">
        <v>6.8566510999999997E-2</v>
      </c>
      <c r="D285" s="3">
        <v>5.3202450999999998E-2</v>
      </c>
      <c r="E285">
        <v>3.7635091000000002E-2</v>
      </c>
      <c r="F285" s="1">
        <v>0.203757941</v>
      </c>
      <c r="G285" s="1">
        <v>8.7456623999999997E-2</v>
      </c>
      <c r="H285" s="2">
        <f t="shared" si="4"/>
        <v>0.32884965599999999</v>
      </c>
      <c r="I285" s="6">
        <v>4.4662084999999997E-2</v>
      </c>
      <c r="J285" s="6">
        <v>6.3969362000000002E-2</v>
      </c>
      <c r="K285" s="6">
        <v>4.0962506000000003E-2</v>
      </c>
      <c r="L285" s="6">
        <v>1.0183486E-2</v>
      </c>
      <c r="M285" s="6">
        <v>3.6695239999999997E-2</v>
      </c>
    </row>
    <row r="286" spans="1:13" x14ac:dyDescent="0.25">
      <c r="A286" t="s">
        <v>139</v>
      </c>
      <c r="B286" s="3">
        <v>1.171203E-3</v>
      </c>
      <c r="C286" s="1">
        <v>4.9681503000000002E-2</v>
      </c>
      <c r="D286" s="3">
        <v>4.7030692999999998E-2</v>
      </c>
      <c r="E286">
        <v>7.4573096000000005E-2</v>
      </c>
      <c r="F286" s="1">
        <v>0.19722319399999999</v>
      </c>
      <c r="G286" s="1">
        <v>9.3235588999999994E-2</v>
      </c>
      <c r="H286" s="2">
        <f t="shared" si="4"/>
        <v>0.365031879</v>
      </c>
      <c r="I286" s="6">
        <v>3.031851E-2</v>
      </c>
      <c r="J286" s="6">
        <v>8.3399940000000006E-2</v>
      </c>
      <c r="K286" s="6">
        <v>2.9093804000000001E-2</v>
      </c>
      <c r="L286" s="6">
        <v>2.1617286999999999E-2</v>
      </c>
      <c r="M286" s="6">
        <v>1.5500943999999999E-2</v>
      </c>
    </row>
    <row r="287" spans="1:13" x14ac:dyDescent="0.25">
      <c r="A287" t="s">
        <v>370</v>
      </c>
      <c r="B287" s="3">
        <v>0</v>
      </c>
      <c r="C287" s="1">
        <v>5.5120690999999999E-2</v>
      </c>
      <c r="D287" s="3">
        <v>6.0027935999999997E-2</v>
      </c>
      <c r="E287">
        <v>5.5155346000000001E-2</v>
      </c>
      <c r="F287" s="1">
        <v>0.13780548100000001</v>
      </c>
      <c r="G287" s="1">
        <v>9.7461879000000001E-2</v>
      </c>
      <c r="H287" s="2">
        <f t="shared" si="4"/>
        <v>0.29042270599999997</v>
      </c>
      <c r="I287" s="6">
        <v>2.9632828999999999E-2</v>
      </c>
      <c r="J287" s="6">
        <v>8.9464006999999998E-2</v>
      </c>
      <c r="K287" s="6">
        <v>1.9008715999999998E-2</v>
      </c>
      <c r="L287" s="6">
        <v>1.3556234E-2</v>
      </c>
      <c r="M287" s="6">
        <v>1.7871832000000001E-2</v>
      </c>
    </row>
    <row r="288" spans="1:13" x14ac:dyDescent="0.25">
      <c r="A288" t="s">
        <v>371</v>
      </c>
      <c r="B288" s="3">
        <v>1.2607698000000001E-2</v>
      </c>
      <c r="C288" s="1">
        <v>4.7809402000000001E-2</v>
      </c>
      <c r="D288" s="3">
        <v>6.8730604000000001E-2</v>
      </c>
      <c r="E288">
        <v>7.6874188999999996E-2</v>
      </c>
      <c r="F288" s="1">
        <v>0.175722986</v>
      </c>
      <c r="G288" s="1">
        <v>7.8912725000000003E-2</v>
      </c>
      <c r="H288" s="2">
        <f t="shared" si="4"/>
        <v>0.33150990000000002</v>
      </c>
      <c r="I288" s="6">
        <v>3.1392801999999997E-2</v>
      </c>
      <c r="J288" s="6">
        <v>3.8838414000000002E-2</v>
      </c>
      <c r="K288" s="6">
        <v>3.9412278000000002E-2</v>
      </c>
      <c r="L288" s="6">
        <v>1.7823037999999999E-2</v>
      </c>
      <c r="M288" s="6">
        <v>3.6142930000000002E-3</v>
      </c>
    </row>
    <row r="289" spans="1:13" x14ac:dyDescent="0.25">
      <c r="A289" t="s">
        <v>372</v>
      </c>
      <c r="B289" s="3">
        <v>0</v>
      </c>
      <c r="C289" s="1">
        <v>4.9428304999999999E-2</v>
      </c>
      <c r="D289" s="3">
        <v>7.5939128999999994E-2</v>
      </c>
      <c r="E289">
        <v>6.2496400000000001E-2</v>
      </c>
      <c r="F289" s="1">
        <v>0.16723990599999999</v>
      </c>
      <c r="G289" s="1">
        <v>0.102236532</v>
      </c>
      <c r="H289" s="2">
        <f t="shared" si="4"/>
        <v>0.33197283799999999</v>
      </c>
      <c r="I289" s="6">
        <v>2.6559912000000001E-2</v>
      </c>
      <c r="J289" s="6">
        <v>9.7257598000000001E-2</v>
      </c>
      <c r="K289" s="6">
        <v>2.4729627000000001E-2</v>
      </c>
      <c r="L289" s="6">
        <v>0</v>
      </c>
      <c r="M289" s="6">
        <v>2.1720389E-2</v>
      </c>
    </row>
    <row r="290" spans="1:13" x14ac:dyDescent="0.25">
      <c r="A290" t="s">
        <v>373</v>
      </c>
      <c r="B290" s="3">
        <v>1.1142479E-2</v>
      </c>
      <c r="C290" s="1">
        <v>3.8489065000000003E-2</v>
      </c>
      <c r="D290" s="3">
        <v>7.3851396E-2</v>
      </c>
      <c r="E290">
        <v>8.9530632999999998E-2</v>
      </c>
      <c r="F290" s="1">
        <v>0.14812286799999999</v>
      </c>
      <c r="G290" s="1">
        <v>9.0407122000000006E-2</v>
      </c>
      <c r="H290" s="2">
        <f t="shared" si="4"/>
        <v>0.328060623</v>
      </c>
      <c r="I290" s="6">
        <v>2.9107612000000001E-2</v>
      </c>
      <c r="J290" s="6">
        <v>3.4287577E-2</v>
      </c>
      <c r="K290" s="6">
        <v>2.2938295000000001E-2</v>
      </c>
      <c r="L290" s="6">
        <v>2.7569354000000001E-2</v>
      </c>
      <c r="M290" s="6">
        <v>1.5155259999999999E-3</v>
      </c>
    </row>
    <row r="291" spans="1:13" x14ac:dyDescent="0.25">
      <c r="A291" t="s">
        <v>374</v>
      </c>
      <c r="B291" s="3">
        <v>7.1289500000000002E-3</v>
      </c>
      <c r="C291" s="1">
        <v>2.8706822E-2</v>
      </c>
      <c r="D291" s="3">
        <v>9.9024219999999996E-2</v>
      </c>
      <c r="E291">
        <v>0.12657980499999999</v>
      </c>
      <c r="F291" s="1">
        <v>0.13279074499999999</v>
      </c>
      <c r="G291" s="1">
        <v>9.9685807000000001E-2</v>
      </c>
      <c r="H291" s="2">
        <f t="shared" si="4"/>
        <v>0.35905635699999999</v>
      </c>
      <c r="I291" s="6">
        <v>3.9292262000000001E-2</v>
      </c>
      <c r="J291" s="6">
        <v>4.9075822999999998E-2</v>
      </c>
      <c r="K291" s="6">
        <v>1.7514031999999999E-2</v>
      </c>
      <c r="L291" s="6">
        <v>2.1605223999999999E-2</v>
      </c>
      <c r="M291" s="6">
        <v>1.7650362999999999E-2</v>
      </c>
    </row>
    <row r="292" spans="1:13" x14ac:dyDescent="0.25">
      <c r="A292" t="s">
        <v>140</v>
      </c>
      <c r="B292" s="3">
        <v>5.2389439999999997E-3</v>
      </c>
      <c r="C292" s="1">
        <v>5.0818976000000002E-2</v>
      </c>
      <c r="D292" s="3">
        <v>4.1921355E-2</v>
      </c>
      <c r="E292">
        <v>6.1440541000000001E-2</v>
      </c>
      <c r="F292" s="1">
        <v>0.15042059699999999</v>
      </c>
      <c r="G292" s="1">
        <v>8.6397155000000003E-2</v>
      </c>
      <c r="H292" s="2">
        <f t="shared" si="4"/>
        <v>0.29825829300000001</v>
      </c>
      <c r="I292" s="6">
        <v>3.3564053000000003E-2</v>
      </c>
      <c r="J292" s="6">
        <v>8.6460864999999998E-2</v>
      </c>
      <c r="K292" s="6">
        <v>1.8856067000000001E-2</v>
      </c>
      <c r="L292" s="6">
        <v>2.0618633000000001E-2</v>
      </c>
      <c r="M292" s="6">
        <v>2.4513355000000001E-2</v>
      </c>
    </row>
    <row r="293" spans="1:13" x14ac:dyDescent="0.25">
      <c r="A293" t="s">
        <v>375</v>
      </c>
      <c r="B293" s="3">
        <v>3.0001252999999999E-2</v>
      </c>
      <c r="C293" s="1">
        <v>3.0594258999999999E-2</v>
      </c>
      <c r="D293" s="3">
        <v>0.128267574</v>
      </c>
      <c r="E293">
        <v>7.1104806000000007E-2</v>
      </c>
      <c r="F293" s="1">
        <v>0.13571786299999999</v>
      </c>
      <c r="G293" s="1">
        <v>0.12178415099999999</v>
      </c>
      <c r="H293" s="2">
        <f t="shared" si="4"/>
        <v>0.32860682000000002</v>
      </c>
      <c r="I293" s="6">
        <v>4.2993122000000002E-2</v>
      </c>
      <c r="J293" s="6">
        <v>9.7845422000000001E-2</v>
      </c>
      <c r="K293" s="6">
        <v>2.3097684E-2</v>
      </c>
      <c r="L293" s="6">
        <v>8.4476840000000004E-3</v>
      </c>
      <c r="M293" s="6">
        <v>0</v>
      </c>
    </row>
    <row r="294" spans="1:13" x14ac:dyDescent="0.25">
      <c r="A294" t="s">
        <v>376</v>
      </c>
      <c r="B294" s="3">
        <v>3.9703150000000003E-3</v>
      </c>
      <c r="C294" s="1">
        <v>4.6811090999999999E-2</v>
      </c>
      <c r="D294" s="3">
        <v>7.5707774000000005E-2</v>
      </c>
      <c r="E294">
        <v>0.13319951599999999</v>
      </c>
      <c r="F294" s="1">
        <v>0.16341856099999999</v>
      </c>
      <c r="G294" s="1">
        <v>0.11630889599999999</v>
      </c>
      <c r="H294" s="2">
        <f t="shared" si="4"/>
        <v>0.41292697299999997</v>
      </c>
      <c r="I294" s="6">
        <v>2.2407386000000001E-2</v>
      </c>
      <c r="J294" s="6">
        <v>6.3728525999999994E-2</v>
      </c>
      <c r="K294" s="6">
        <v>8.8339419999999991E-3</v>
      </c>
      <c r="L294" s="6">
        <v>1.4523383000000001E-2</v>
      </c>
      <c r="M294" s="6">
        <v>3.5857799999999998E-3</v>
      </c>
    </row>
    <row r="295" spans="1:13" x14ac:dyDescent="0.25">
      <c r="A295" t="s">
        <v>141</v>
      </c>
      <c r="B295" s="3">
        <v>2.1171568000000002E-2</v>
      </c>
      <c r="C295" s="1">
        <v>5.2294091000000001E-2</v>
      </c>
      <c r="D295" s="3">
        <v>7.7209247999999994E-2</v>
      </c>
      <c r="E295">
        <v>6.5703629999999999E-2</v>
      </c>
      <c r="F295" s="1">
        <v>0.16577404500000001</v>
      </c>
      <c r="G295" s="1">
        <v>0.123223211</v>
      </c>
      <c r="H295" s="2">
        <f t="shared" si="4"/>
        <v>0.35470088599999999</v>
      </c>
      <c r="I295" s="6">
        <v>2.8772687000000002E-2</v>
      </c>
      <c r="J295" s="6">
        <v>9.7018793000000006E-2</v>
      </c>
      <c r="K295" s="6">
        <v>1.1864624000000001E-2</v>
      </c>
      <c r="L295" s="6">
        <v>0</v>
      </c>
      <c r="M295" s="6">
        <v>6.4749969999999997E-3</v>
      </c>
    </row>
    <row r="296" spans="1:13" x14ac:dyDescent="0.25">
      <c r="A296" t="s">
        <v>377</v>
      </c>
      <c r="B296" s="3">
        <v>0</v>
      </c>
      <c r="C296" s="1">
        <v>6.4138807000000006E-2</v>
      </c>
      <c r="D296" s="3">
        <v>7.5604299E-2</v>
      </c>
      <c r="E296">
        <v>8.0535159999999995E-2</v>
      </c>
      <c r="F296" s="1">
        <v>0.190206824</v>
      </c>
      <c r="G296" s="1">
        <v>6.5790956999999997E-2</v>
      </c>
      <c r="H296" s="2">
        <f t="shared" si="4"/>
        <v>0.33653294099999997</v>
      </c>
      <c r="I296" s="6">
        <v>1.4754695E-2</v>
      </c>
      <c r="J296" s="6">
        <v>4.7486779999999999E-2</v>
      </c>
      <c r="K296" s="6">
        <v>2.8388166999999999E-2</v>
      </c>
      <c r="L296" s="6">
        <v>2.2372257E-2</v>
      </c>
      <c r="M296" s="6">
        <v>8.7522900000000005E-4</v>
      </c>
    </row>
    <row r="297" spans="1:13" x14ac:dyDescent="0.25">
      <c r="A297" t="s">
        <v>378</v>
      </c>
      <c r="B297" s="3">
        <v>0</v>
      </c>
      <c r="C297" s="1">
        <v>5.1000983E-2</v>
      </c>
      <c r="D297" s="3">
        <v>5.0827853999999999E-2</v>
      </c>
      <c r="E297">
        <v>9.5254310999999994E-2</v>
      </c>
      <c r="F297" s="1">
        <v>0.15827343699999999</v>
      </c>
      <c r="G297" s="1">
        <v>9.7793176999999995E-2</v>
      </c>
      <c r="H297" s="2">
        <f t="shared" si="4"/>
        <v>0.35132092500000001</v>
      </c>
      <c r="I297" s="6">
        <v>2.8249588999999999E-2</v>
      </c>
      <c r="J297" s="6">
        <v>0.105917733</v>
      </c>
      <c r="K297" s="6">
        <v>1.4916595E-2</v>
      </c>
      <c r="L297" s="6">
        <v>5.2037719999999997E-3</v>
      </c>
      <c r="M297" s="6">
        <v>1.2326726E-2</v>
      </c>
    </row>
    <row r="298" spans="1:13" x14ac:dyDescent="0.25">
      <c r="A298" t="s">
        <v>142</v>
      </c>
      <c r="B298" s="3">
        <v>0</v>
      </c>
      <c r="C298" s="1">
        <v>6.1142941999999999E-2</v>
      </c>
      <c r="D298" s="3">
        <v>5.2905540000000001E-2</v>
      </c>
      <c r="E298">
        <v>5.7921904000000003E-2</v>
      </c>
      <c r="F298" s="1">
        <v>0.152474148</v>
      </c>
      <c r="G298" s="1">
        <v>8.9464450000000001E-2</v>
      </c>
      <c r="H298" s="2">
        <f t="shared" si="4"/>
        <v>0.29986050200000003</v>
      </c>
      <c r="I298" s="6">
        <v>2.9732114E-2</v>
      </c>
      <c r="J298" s="6">
        <v>0.106405469</v>
      </c>
      <c r="K298" s="6">
        <v>3.2487078000000003E-2</v>
      </c>
      <c r="L298" s="6">
        <v>1.5398139999999999E-2</v>
      </c>
      <c r="M298" s="6">
        <v>2.0665579999999999E-2</v>
      </c>
    </row>
    <row r="299" spans="1:13" x14ac:dyDescent="0.25">
      <c r="A299" t="s">
        <v>379</v>
      </c>
      <c r="B299" s="3">
        <v>1.1869945E-2</v>
      </c>
      <c r="C299" s="1">
        <v>3.1453374999999999E-2</v>
      </c>
      <c r="D299" s="3">
        <v>9.7781407000000001E-2</v>
      </c>
      <c r="E299">
        <v>6.0219010000000003E-2</v>
      </c>
      <c r="F299" s="1">
        <v>0.14677233100000001</v>
      </c>
      <c r="G299" s="1">
        <v>0.10688357599999999</v>
      </c>
      <c r="H299" s="2">
        <f t="shared" si="4"/>
        <v>0.31387491699999998</v>
      </c>
      <c r="I299" s="6">
        <v>2.6561274999999999E-2</v>
      </c>
      <c r="J299" s="6">
        <v>8.4234944000000006E-2</v>
      </c>
      <c r="K299" s="6">
        <v>1.8092627999999999E-2</v>
      </c>
      <c r="L299" s="6">
        <v>1.9137570999999999E-2</v>
      </c>
      <c r="M299" s="6">
        <v>2.023865E-2</v>
      </c>
    </row>
    <row r="300" spans="1:13" x14ac:dyDescent="0.25">
      <c r="A300" t="s">
        <v>380</v>
      </c>
      <c r="B300" s="3">
        <v>0</v>
      </c>
      <c r="C300" s="1">
        <v>4.3821719000000002E-2</v>
      </c>
      <c r="D300" s="3">
        <v>8.8761649999999997E-2</v>
      </c>
      <c r="E300">
        <v>6.9744344E-2</v>
      </c>
      <c r="F300" s="1">
        <v>0.11734270099999999</v>
      </c>
      <c r="G300" s="1">
        <v>9.7887770999999998E-2</v>
      </c>
      <c r="H300" s="2">
        <f t="shared" si="4"/>
        <v>0.28497481600000002</v>
      </c>
      <c r="I300" s="6">
        <v>3.1955272999999999E-2</v>
      </c>
      <c r="J300" s="6">
        <v>8.1458588999999998E-2</v>
      </c>
      <c r="K300" s="6">
        <v>2.4215385999999998E-2</v>
      </c>
      <c r="L300" s="6">
        <v>3.5015254000000003E-2</v>
      </c>
      <c r="M300" s="6">
        <v>1.3164240000000001E-2</v>
      </c>
    </row>
    <row r="301" spans="1:13" x14ac:dyDescent="0.25">
      <c r="A301" t="s">
        <v>143</v>
      </c>
      <c r="B301" s="3">
        <v>0</v>
      </c>
      <c r="C301" s="1">
        <v>4.6860288999999999E-2</v>
      </c>
      <c r="D301" s="3">
        <v>2.8078626999999998E-2</v>
      </c>
      <c r="E301">
        <v>6.6840847999999994E-2</v>
      </c>
      <c r="F301" s="1">
        <v>0.192434893</v>
      </c>
      <c r="G301" s="1">
        <v>9.2349895000000001E-2</v>
      </c>
      <c r="H301" s="2">
        <f t="shared" si="4"/>
        <v>0.35162563600000002</v>
      </c>
      <c r="I301" s="6">
        <v>3.7381258000000001E-2</v>
      </c>
      <c r="J301" s="6">
        <v>8.5907057999999994E-2</v>
      </c>
      <c r="K301" s="6">
        <v>1.4285388E-2</v>
      </c>
      <c r="L301" s="6">
        <v>2.0864184000000001E-2</v>
      </c>
      <c r="M301" s="6">
        <v>5.699969E-3</v>
      </c>
    </row>
    <row r="302" spans="1:13" x14ac:dyDescent="0.25">
      <c r="A302" t="s">
        <v>144</v>
      </c>
      <c r="B302" s="3">
        <v>0</v>
      </c>
      <c r="C302" s="1">
        <v>5.6414434999999999E-2</v>
      </c>
      <c r="D302" s="3">
        <v>3.9054370999999997E-2</v>
      </c>
      <c r="E302">
        <v>8.4164092999999995E-2</v>
      </c>
      <c r="F302" s="1">
        <v>0.181720733</v>
      </c>
      <c r="G302" s="1">
        <v>0.118474919</v>
      </c>
      <c r="H302" s="2">
        <f t="shared" si="4"/>
        <v>0.38435974499999997</v>
      </c>
      <c r="I302" s="6">
        <v>4.3479005000000001E-2</v>
      </c>
      <c r="J302" s="6">
        <v>9.0370783999999996E-2</v>
      </c>
      <c r="K302" s="6">
        <v>1.5594389E-2</v>
      </c>
      <c r="L302" s="6">
        <v>1.4637791000000001E-2</v>
      </c>
      <c r="M302" s="6">
        <v>2.4696409999999999E-3</v>
      </c>
    </row>
    <row r="303" spans="1:13" x14ac:dyDescent="0.25">
      <c r="A303" t="s">
        <v>145</v>
      </c>
      <c r="B303" s="3">
        <v>0</v>
      </c>
      <c r="C303" s="1">
        <v>5.5325331999999998E-2</v>
      </c>
      <c r="D303" s="3">
        <v>3.5416833000000002E-2</v>
      </c>
      <c r="E303">
        <v>9.8798039000000004E-2</v>
      </c>
      <c r="F303" s="1">
        <v>0.22393877500000001</v>
      </c>
      <c r="G303" s="1">
        <v>5.2845090999999997E-2</v>
      </c>
      <c r="H303" s="2">
        <f t="shared" si="4"/>
        <v>0.37558190499999999</v>
      </c>
      <c r="I303" s="6">
        <v>4.5635140999999997E-2</v>
      </c>
      <c r="J303" s="6">
        <v>4.7187346999999998E-2</v>
      </c>
      <c r="K303" s="6">
        <v>1.9994130999999998E-2</v>
      </c>
      <c r="L303" s="6">
        <v>2.8133277000000002E-2</v>
      </c>
      <c r="M303" s="6">
        <v>9.9445269999999999E-3</v>
      </c>
    </row>
    <row r="304" spans="1:13" x14ac:dyDescent="0.25">
      <c r="A304" t="s">
        <v>381</v>
      </c>
      <c r="B304" s="3">
        <v>0</v>
      </c>
      <c r="C304" s="1">
        <v>6.3280315000000004E-2</v>
      </c>
      <c r="D304" s="3">
        <v>7.0228646000000006E-2</v>
      </c>
      <c r="E304">
        <v>4.1137636999999998E-2</v>
      </c>
      <c r="F304" s="1">
        <v>0.17207673800000001</v>
      </c>
      <c r="G304" s="1">
        <v>8.1902085999999999E-2</v>
      </c>
      <c r="H304" s="2">
        <f t="shared" si="4"/>
        <v>0.295116461</v>
      </c>
      <c r="I304" s="6">
        <v>3.0559587999999999E-2</v>
      </c>
      <c r="J304" s="6">
        <v>8.0863233000000007E-2</v>
      </c>
      <c r="K304" s="6">
        <v>2.2604978000000001E-2</v>
      </c>
      <c r="L304" s="6">
        <v>2.0809729999999999E-2</v>
      </c>
      <c r="M304" s="6">
        <v>1.8660225999999999E-2</v>
      </c>
    </row>
    <row r="305" spans="1:13" x14ac:dyDescent="0.25">
      <c r="A305" t="s">
        <v>382</v>
      </c>
      <c r="B305" s="3">
        <v>4.5803499999999997E-4</v>
      </c>
      <c r="C305" s="1">
        <v>5.6371673999999997E-2</v>
      </c>
      <c r="D305" s="3">
        <v>7.5285368000000005E-2</v>
      </c>
      <c r="E305">
        <v>0.11658515699999999</v>
      </c>
      <c r="F305" s="1">
        <v>0.18450588100000001</v>
      </c>
      <c r="G305" s="1">
        <v>9.4660989000000001E-2</v>
      </c>
      <c r="H305" s="2">
        <f t="shared" si="4"/>
        <v>0.39575202700000001</v>
      </c>
      <c r="I305" s="6">
        <v>4.1069966999999999E-2</v>
      </c>
      <c r="J305" s="6">
        <v>4.9498172E-2</v>
      </c>
      <c r="K305" s="6">
        <v>1.2781439E-2</v>
      </c>
      <c r="L305" s="6">
        <v>1.5945115999999999E-2</v>
      </c>
      <c r="M305" s="6">
        <v>5.8903419999999998E-3</v>
      </c>
    </row>
    <row r="306" spans="1:13" x14ac:dyDescent="0.25">
      <c r="A306" t="s">
        <v>383</v>
      </c>
      <c r="B306" s="3">
        <v>0</v>
      </c>
      <c r="C306" s="1">
        <v>6.0715078999999998E-2</v>
      </c>
      <c r="D306" s="3">
        <v>6.7570796000000002E-2</v>
      </c>
      <c r="E306">
        <v>8.9508342000000005E-2</v>
      </c>
      <c r="F306" s="1">
        <v>0.11968039699999999</v>
      </c>
      <c r="G306" s="1">
        <v>0.102531973</v>
      </c>
      <c r="H306" s="2">
        <f t="shared" si="4"/>
        <v>0.31172071200000001</v>
      </c>
      <c r="I306" s="6">
        <v>2.0005469000000001E-2</v>
      </c>
      <c r="J306" s="6">
        <v>0.110239054</v>
      </c>
      <c r="K306" s="6">
        <v>1.7151783E-2</v>
      </c>
      <c r="L306" s="6">
        <v>1.1061216E-2</v>
      </c>
      <c r="M306" s="6">
        <v>1.3867030000000001E-2</v>
      </c>
    </row>
    <row r="307" spans="1:13" x14ac:dyDescent="0.25">
      <c r="A307" t="s">
        <v>146</v>
      </c>
      <c r="B307" s="3">
        <v>0</v>
      </c>
      <c r="C307" s="1">
        <v>5.9839968E-2</v>
      </c>
      <c r="D307" s="3">
        <v>8.4375482000000002E-2</v>
      </c>
      <c r="E307">
        <v>7.8035040999999999E-2</v>
      </c>
      <c r="F307" s="1">
        <v>0.16181146399999999</v>
      </c>
      <c r="G307" s="1">
        <v>9.7642551999999994E-2</v>
      </c>
      <c r="H307" s="2">
        <f t="shared" si="4"/>
        <v>0.33748905699999998</v>
      </c>
      <c r="I307" s="6">
        <v>3.5037709E-2</v>
      </c>
      <c r="J307" s="6">
        <v>8.0762830999999993E-2</v>
      </c>
      <c r="K307" s="6">
        <v>2.8651611E-2</v>
      </c>
      <c r="L307" s="6">
        <v>1.9205102000000002E-2</v>
      </c>
      <c r="M307" s="6">
        <v>5.3742909999999998E-3</v>
      </c>
    </row>
    <row r="308" spans="1:13" x14ac:dyDescent="0.25">
      <c r="A308" t="s">
        <v>384</v>
      </c>
      <c r="B308" s="3">
        <v>4.3584009999999996E-3</v>
      </c>
      <c r="C308" s="1">
        <v>4.3864647E-2</v>
      </c>
      <c r="D308" s="3">
        <v>6.4548939E-2</v>
      </c>
      <c r="E308">
        <v>7.1262346000000004E-2</v>
      </c>
      <c r="F308" s="1">
        <v>0.17037527099999999</v>
      </c>
      <c r="G308" s="1">
        <v>0.11013366300000001</v>
      </c>
      <c r="H308" s="2">
        <f t="shared" si="4"/>
        <v>0.35177128000000002</v>
      </c>
      <c r="I308" s="6">
        <v>3.0818795999999999E-2</v>
      </c>
      <c r="J308" s="6">
        <v>7.5249070000000001E-2</v>
      </c>
      <c r="K308" s="6">
        <v>1.5554208E-2</v>
      </c>
      <c r="L308" s="6">
        <v>1.9842083999999999E-2</v>
      </c>
      <c r="M308" s="6">
        <v>1.9007369E-2</v>
      </c>
    </row>
    <row r="309" spans="1:13" x14ac:dyDescent="0.25">
      <c r="A309" t="s">
        <v>385</v>
      </c>
      <c r="B309" s="3">
        <v>7.3886860000000002E-3</v>
      </c>
      <c r="C309" s="1">
        <v>4.4882876000000002E-2</v>
      </c>
      <c r="D309" s="3">
        <v>5.9437146000000003E-2</v>
      </c>
      <c r="E309">
        <v>7.9875744999999998E-2</v>
      </c>
      <c r="F309" s="1">
        <v>0.168842145</v>
      </c>
      <c r="G309" s="1">
        <v>7.8595796999999995E-2</v>
      </c>
      <c r="H309" s="2">
        <f t="shared" si="4"/>
        <v>0.32731368699999996</v>
      </c>
      <c r="I309" s="6">
        <v>2.7663448E-2</v>
      </c>
      <c r="J309" s="6">
        <v>7.1034397999999999E-2</v>
      </c>
      <c r="K309" s="6">
        <v>3.5188101999999999E-2</v>
      </c>
      <c r="L309" s="6">
        <v>1.9744645000000002E-2</v>
      </c>
      <c r="M309" s="6">
        <v>1.301352E-3</v>
      </c>
    </row>
    <row r="310" spans="1:13" x14ac:dyDescent="0.25">
      <c r="A310" t="s">
        <v>386</v>
      </c>
      <c r="B310" s="3">
        <v>1.5958697000000001E-2</v>
      </c>
      <c r="C310" s="1">
        <v>3.8740359000000002E-2</v>
      </c>
      <c r="D310" s="3">
        <v>9.502932E-2</v>
      </c>
      <c r="E310">
        <v>3.0976607E-2</v>
      </c>
      <c r="F310" s="1">
        <v>0.17930356</v>
      </c>
      <c r="G310" s="1">
        <v>0.101827446</v>
      </c>
      <c r="H310" s="2">
        <f t="shared" si="4"/>
        <v>0.31210761300000001</v>
      </c>
      <c r="I310" s="6">
        <v>2.6147574999999999E-2</v>
      </c>
      <c r="J310" s="6">
        <v>8.5445403000000003E-2</v>
      </c>
      <c r="K310" s="6">
        <v>3.1557463000000001E-2</v>
      </c>
      <c r="L310" s="6">
        <v>1.8157281000000001E-2</v>
      </c>
      <c r="M310" s="6">
        <v>1.3827611E-2</v>
      </c>
    </row>
    <row r="311" spans="1:13" x14ac:dyDescent="0.25">
      <c r="A311" t="s">
        <v>387</v>
      </c>
      <c r="B311" s="3">
        <v>1.0184949E-2</v>
      </c>
      <c r="C311" s="1">
        <v>3.5455300000000002E-2</v>
      </c>
      <c r="D311" s="3">
        <v>0.113072722</v>
      </c>
      <c r="E311">
        <v>0.117753146</v>
      </c>
      <c r="F311" s="1">
        <v>0.163527177</v>
      </c>
      <c r="G311" s="1">
        <v>0.12378252200000001</v>
      </c>
      <c r="H311" s="2">
        <f t="shared" si="4"/>
        <v>0.405062845</v>
      </c>
      <c r="I311" s="6">
        <v>4.0648823000000001E-2</v>
      </c>
      <c r="J311" s="6">
        <v>8.1721000000000002E-2</v>
      </c>
      <c r="K311" s="6">
        <v>1.810482E-3</v>
      </c>
      <c r="L311" s="6">
        <v>5.8051939999999996E-3</v>
      </c>
      <c r="M311" s="6">
        <v>0</v>
      </c>
    </row>
    <row r="312" spans="1:13" x14ac:dyDescent="0.25">
      <c r="A312" t="s">
        <v>388</v>
      </c>
      <c r="B312" s="3">
        <v>0</v>
      </c>
      <c r="C312" s="1">
        <v>6.3992244000000004E-2</v>
      </c>
      <c r="D312" s="3">
        <v>5.3366005000000001E-2</v>
      </c>
      <c r="E312">
        <v>7.7877907999999996E-2</v>
      </c>
      <c r="F312" s="1">
        <v>0.14947623800000001</v>
      </c>
      <c r="G312" s="1">
        <v>0.111232342</v>
      </c>
      <c r="H312" s="2">
        <f t="shared" si="4"/>
        <v>0.33858648800000002</v>
      </c>
      <c r="I312" s="6">
        <v>3.1792018999999998E-2</v>
      </c>
      <c r="J312" s="6">
        <v>6.7901142999999997E-2</v>
      </c>
      <c r="K312" s="6">
        <v>4.8439755000000001E-2</v>
      </c>
      <c r="L312" s="6">
        <v>0</v>
      </c>
      <c r="M312" s="6">
        <v>1.3207674000000001E-2</v>
      </c>
    </row>
    <row r="313" spans="1:13" x14ac:dyDescent="0.25">
      <c r="A313" t="s">
        <v>147</v>
      </c>
      <c r="B313" s="3">
        <v>0</v>
      </c>
      <c r="C313" s="1">
        <v>6.1229265999999997E-2</v>
      </c>
      <c r="D313" s="3">
        <v>5.5115562E-2</v>
      </c>
      <c r="E313">
        <v>6.6694868000000004E-2</v>
      </c>
      <c r="F313" s="1">
        <v>0.17924567599999999</v>
      </c>
      <c r="G313" s="1">
        <v>9.6273431000000007E-2</v>
      </c>
      <c r="H313" s="2">
        <f t="shared" si="4"/>
        <v>0.342213975</v>
      </c>
      <c r="I313" s="6">
        <v>4.7739275999999997E-2</v>
      </c>
      <c r="J313" s="6">
        <v>6.0966062000000001E-2</v>
      </c>
      <c r="K313" s="6">
        <v>3.0603900000000001E-3</v>
      </c>
      <c r="L313" s="6">
        <v>2.0549458999999999E-2</v>
      </c>
      <c r="M313" s="6">
        <v>0</v>
      </c>
    </row>
    <row r="314" spans="1:13" x14ac:dyDescent="0.25">
      <c r="A314" t="s">
        <v>148</v>
      </c>
      <c r="B314" s="3">
        <v>0</v>
      </c>
      <c r="C314" s="1">
        <v>4.9175919999999998E-2</v>
      </c>
      <c r="D314" s="3">
        <v>6.6346642999999997E-2</v>
      </c>
      <c r="E314">
        <v>6.0212441999999998E-2</v>
      </c>
      <c r="F314" s="1">
        <v>0.158923538</v>
      </c>
      <c r="G314" s="1">
        <v>9.2509043999999999E-2</v>
      </c>
      <c r="H314" s="2">
        <f t="shared" si="4"/>
        <v>0.31164502399999999</v>
      </c>
      <c r="I314" s="6">
        <v>3.0702114999999999E-2</v>
      </c>
      <c r="J314" s="6">
        <v>8.0953310000000001E-2</v>
      </c>
      <c r="K314" s="6">
        <v>3.6555783000000001E-2</v>
      </c>
      <c r="L314" s="6">
        <v>2.9130987000000001E-2</v>
      </c>
      <c r="M314" s="6">
        <v>2.5743200000000001E-2</v>
      </c>
    </row>
    <row r="315" spans="1:13" x14ac:dyDescent="0.25">
      <c r="A315" t="s">
        <v>389</v>
      </c>
      <c r="B315" s="3">
        <v>0</v>
      </c>
      <c r="C315" s="1">
        <v>6.1702914999999997E-2</v>
      </c>
      <c r="D315" s="3">
        <v>6.2687097999999997E-2</v>
      </c>
      <c r="E315">
        <v>5.2354426000000003E-2</v>
      </c>
      <c r="F315" s="1">
        <v>0.15730464599999999</v>
      </c>
      <c r="G315" s="1">
        <v>8.8276964999999999E-2</v>
      </c>
      <c r="H315" s="2">
        <f t="shared" si="4"/>
        <v>0.29793603699999999</v>
      </c>
      <c r="I315" s="6">
        <v>3.2809313999999999E-2</v>
      </c>
      <c r="J315" s="6">
        <v>4.5998839999999999E-2</v>
      </c>
      <c r="K315" s="6">
        <v>4.5219713000000002E-2</v>
      </c>
      <c r="L315" s="6">
        <v>2.9400108000000001E-2</v>
      </c>
      <c r="M315" s="6">
        <v>1.0132857E-2</v>
      </c>
    </row>
    <row r="316" spans="1:13" x14ac:dyDescent="0.25">
      <c r="A316" t="s">
        <v>149</v>
      </c>
      <c r="B316" s="3">
        <v>2.0733446999999999E-2</v>
      </c>
      <c r="C316" s="1">
        <v>3.3066657999999999E-2</v>
      </c>
      <c r="D316" s="3">
        <v>9.6636565999999993E-2</v>
      </c>
      <c r="E316">
        <v>7.2816737000000006E-2</v>
      </c>
      <c r="F316" s="1">
        <v>0.19145657799999999</v>
      </c>
      <c r="G316" s="1">
        <v>0.121920743</v>
      </c>
      <c r="H316" s="2">
        <f t="shared" si="4"/>
        <v>0.38619405800000001</v>
      </c>
      <c r="I316" s="6">
        <v>2.9633491000000001E-2</v>
      </c>
      <c r="J316" s="6">
        <v>5.7977142000000002E-2</v>
      </c>
      <c r="K316" s="6">
        <v>1.5377760000000001E-2</v>
      </c>
      <c r="L316" s="6">
        <v>3.6583663000000002E-2</v>
      </c>
      <c r="M316" s="6">
        <v>1.968381E-3</v>
      </c>
    </row>
    <row r="317" spans="1:13" x14ac:dyDescent="0.25">
      <c r="A317" t="s">
        <v>150</v>
      </c>
      <c r="B317" s="3">
        <v>0</v>
      </c>
      <c r="C317" s="1">
        <v>7.5979627999999994E-2</v>
      </c>
      <c r="D317" s="3">
        <v>6.5266538999999998E-2</v>
      </c>
      <c r="E317">
        <v>6.2305540999999999E-2</v>
      </c>
      <c r="F317" s="1">
        <v>0.161692166</v>
      </c>
      <c r="G317" s="1">
        <v>8.1252352999999999E-2</v>
      </c>
      <c r="H317" s="2">
        <f t="shared" si="4"/>
        <v>0.30525005999999999</v>
      </c>
      <c r="I317" s="6">
        <v>2.9162816000000001E-2</v>
      </c>
      <c r="J317" s="6">
        <v>6.9640850000000004E-2</v>
      </c>
      <c r="K317" s="6">
        <v>1.8777317000000002E-2</v>
      </c>
      <c r="L317" s="6">
        <v>2.8558152E-2</v>
      </c>
      <c r="M317" s="6">
        <v>8.7160269999999995E-3</v>
      </c>
    </row>
    <row r="318" spans="1:13" x14ac:dyDescent="0.25">
      <c r="A318" t="s">
        <v>151</v>
      </c>
      <c r="B318" s="3">
        <v>1.3220399000000001E-2</v>
      </c>
      <c r="C318" s="1">
        <v>5.5553221999999999E-2</v>
      </c>
      <c r="D318" s="3">
        <v>3.8899311999999998E-2</v>
      </c>
      <c r="E318">
        <v>3.9434250999999997E-2</v>
      </c>
      <c r="F318" s="1">
        <v>0.23124433699999999</v>
      </c>
      <c r="G318" s="1">
        <v>7.2087656999999999E-2</v>
      </c>
      <c r="H318" s="2">
        <f t="shared" si="4"/>
        <v>0.34276624499999997</v>
      </c>
      <c r="I318" s="6">
        <v>4.2543625000000002E-2</v>
      </c>
      <c r="J318" s="6">
        <v>5.6081842E-2</v>
      </c>
      <c r="K318" s="6">
        <v>1.4144619000000001E-2</v>
      </c>
      <c r="L318" s="6">
        <v>3.3557314999999997E-2</v>
      </c>
      <c r="M318" s="6">
        <v>1.046801E-3</v>
      </c>
    </row>
    <row r="319" spans="1:13" x14ac:dyDescent="0.25">
      <c r="A319" t="s">
        <v>390</v>
      </c>
      <c r="B319" s="3">
        <v>2.5708186000000001E-2</v>
      </c>
      <c r="C319" s="1">
        <v>2.1230704999999999E-2</v>
      </c>
      <c r="D319" s="3">
        <v>0.11438263799999999</v>
      </c>
      <c r="E319">
        <v>8.7070270000000005E-2</v>
      </c>
      <c r="F319" s="1">
        <v>0.11553899400000001</v>
      </c>
      <c r="G319" s="1">
        <v>0.124259994</v>
      </c>
      <c r="H319" s="2">
        <f t="shared" si="4"/>
        <v>0.326869258</v>
      </c>
      <c r="I319" s="6">
        <v>4.0991087000000002E-2</v>
      </c>
      <c r="J319" s="6">
        <v>7.8129493999999994E-2</v>
      </c>
      <c r="K319" s="6">
        <v>1.6574284000000002E-2</v>
      </c>
      <c r="L319" s="6">
        <v>1.7295897000000001E-2</v>
      </c>
      <c r="M319" s="6">
        <v>1.2073E-2</v>
      </c>
    </row>
    <row r="320" spans="1:13" x14ac:dyDescent="0.25">
      <c r="A320" t="s">
        <v>391</v>
      </c>
      <c r="B320" s="3">
        <v>1.526915E-2</v>
      </c>
      <c r="C320" s="1">
        <v>2.3182211000000001E-2</v>
      </c>
      <c r="D320" s="3">
        <v>0.106227875</v>
      </c>
      <c r="E320">
        <v>3.3183657999999998E-2</v>
      </c>
      <c r="F320" s="1">
        <v>0.137990003</v>
      </c>
      <c r="G320" s="1">
        <v>0.10183133799999999</v>
      </c>
      <c r="H320" s="2">
        <f t="shared" si="4"/>
        <v>0.27300499899999997</v>
      </c>
      <c r="I320" s="6">
        <v>3.8052045E-2</v>
      </c>
      <c r="J320" s="6">
        <v>8.3158060000000006E-2</v>
      </c>
      <c r="K320" s="6">
        <v>3.6651805000000003E-2</v>
      </c>
      <c r="L320" s="6">
        <v>2.9549749E-2</v>
      </c>
      <c r="M320" s="6">
        <v>2.5444649E-2</v>
      </c>
    </row>
    <row r="321" spans="1:13" x14ac:dyDescent="0.25">
      <c r="A321" t="s">
        <v>152</v>
      </c>
      <c r="B321" s="3">
        <v>0</v>
      </c>
      <c r="C321" s="1">
        <v>6.4975779999999997E-2</v>
      </c>
      <c r="D321" s="3">
        <v>4.7254095000000003E-2</v>
      </c>
      <c r="E321">
        <v>6.5050946999999998E-2</v>
      </c>
      <c r="F321" s="1">
        <v>0.185711613</v>
      </c>
      <c r="G321" s="1">
        <v>8.2365142000000002E-2</v>
      </c>
      <c r="H321" s="2">
        <f t="shared" si="4"/>
        <v>0.33312770199999997</v>
      </c>
      <c r="I321" s="6">
        <v>3.8405726000000001E-2</v>
      </c>
      <c r="J321" s="6">
        <v>7.2016980999999994E-2</v>
      </c>
      <c r="K321" s="6">
        <v>2.0395342E-2</v>
      </c>
      <c r="L321" s="6">
        <v>1.698185E-2</v>
      </c>
      <c r="M321" s="6">
        <v>1.3776037E-2</v>
      </c>
    </row>
    <row r="322" spans="1:13" x14ac:dyDescent="0.25">
      <c r="A322" t="s">
        <v>153</v>
      </c>
      <c r="B322" s="3">
        <v>1.8801480000000001E-3</v>
      </c>
      <c r="C322" s="1">
        <v>6.1058895000000002E-2</v>
      </c>
      <c r="D322" s="3">
        <v>4.8737304000000002E-2</v>
      </c>
      <c r="E322">
        <v>5.5277013999999999E-2</v>
      </c>
      <c r="F322" s="1">
        <v>0.17536547</v>
      </c>
      <c r="G322" s="1">
        <v>9.0288724000000001E-2</v>
      </c>
      <c r="H322" s="2">
        <f t="shared" si="4"/>
        <v>0.32093120799999997</v>
      </c>
      <c r="I322" s="6">
        <v>4.2544083000000003E-2</v>
      </c>
      <c r="J322" s="6">
        <v>8.7927511E-2</v>
      </c>
      <c r="K322" s="6">
        <v>2.7149044000000001E-2</v>
      </c>
      <c r="L322" s="6">
        <v>1.5378757999999999E-2</v>
      </c>
      <c r="M322" s="6">
        <v>2.3281527999999999E-2</v>
      </c>
    </row>
    <row r="323" spans="1:13" x14ac:dyDescent="0.25">
      <c r="A323" t="s">
        <v>154</v>
      </c>
      <c r="B323" s="3">
        <v>0</v>
      </c>
      <c r="C323" s="1">
        <v>4.9470593E-2</v>
      </c>
      <c r="D323" s="3">
        <v>5.4872980000000002E-2</v>
      </c>
      <c r="E323">
        <v>4.8124707000000003E-2</v>
      </c>
      <c r="F323" s="1">
        <v>0.15466279999999999</v>
      </c>
      <c r="G323" s="1">
        <v>0.117103445</v>
      </c>
      <c r="H323" s="2">
        <f t="shared" ref="H323:H386" si="5">SUM(E323:G323)</f>
        <v>0.31989095199999995</v>
      </c>
      <c r="I323" s="6">
        <v>5.0256046999999998E-2</v>
      </c>
      <c r="J323" s="6">
        <v>7.2179792000000007E-2</v>
      </c>
      <c r="K323" s="6">
        <v>8.8764800000000008E-3</v>
      </c>
      <c r="L323" s="6">
        <v>3.3591809E-2</v>
      </c>
      <c r="M323" s="6">
        <v>7.751366E-3</v>
      </c>
    </row>
    <row r="324" spans="1:13" x14ac:dyDescent="0.25">
      <c r="A324" t="s">
        <v>392</v>
      </c>
      <c r="B324" s="3">
        <v>6.9538E-4</v>
      </c>
      <c r="C324" s="1">
        <v>4.4338045999999999E-2</v>
      </c>
      <c r="D324" s="3">
        <v>0.104982462</v>
      </c>
      <c r="E324">
        <v>4.1581720000000003E-2</v>
      </c>
      <c r="F324" s="1">
        <v>0.14861556100000001</v>
      </c>
      <c r="G324" s="1">
        <v>0.104637937</v>
      </c>
      <c r="H324" s="2">
        <f t="shared" si="5"/>
        <v>0.29483521800000001</v>
      </c>
      <c r="I324" s="6">
        <v>4.3463079000000002E-2</v>
      </c>
      <c r="J324" s="6">
        <v>8.321038E-2</v>
      </c>
      <c r="K324" s="6">
        <v>3.7402930000000001E-2</v>
      </c>
      <c r="L324" s="6">
        <v>3.6735560000000001E-3</v>
      </c>
      <c r="M324" s="6">
        <v>3.0967833E-2</v>
      </c>
    </row>
    <row r="325" spans="1:13" x14ac:dyDescent="0.25">
      <c r="A325" t="s">
        <v>393</v>
      </c>
      <c r="B325" s="3">
        <v>0</v>
      </c>
      <c r="C325" s="1">
        <v>6.7803855999999996E-2</v>
      </c>
      <c r="D325" s="3">
        <v>5.2283944999999998E-2</v>
      </c>
      <c r="E325">
        <v>5.1367367999999997E-2</v>
      </c>
      <c r="F325" s="1">
        <v>0.14886218200000001</v>
      </c>
      <c r="G325" s="1">
        <v>9.6578257000000001E-2</v>
      </c>
      <c r="H325" s="2">
        <f t="shared" si="5"/>
        <v>0.29680780699999998</v>
      </c>
      <c r="I325" s="6">
        <v>3.5832680999999998E-2</v>
      </c>
      <c r="J325" s="6">
        <v>9.0530382000000006E-2</v>
      </c>
      <c r="K325" s="6">
        <v>2.0775749999999999E-2</v>
      </c>
      <c r="L325" s="6">
        <v>2.7271918999999999E-2</v>
      </c>
      <c r="M325" s="6">
        <v>1.1189331E-2</v>
      </c>
    </row>
    <row r="326" spans="1:13" x14ac:dyDescent="0.25">
      <c r="A326" t="s">
        <v>155</v>
      </c>
      <c r="B326" s="3">
        <v>0</v>
      </c>
      <c r="C326" s="1">
        <v>5.8134999E-2</v>
      </c>
      <c r="D326" s="3">
        <v>4.2630182000000003E-2</v>
      </c>
      <c r="E326">
        <v>8.3370440000000004E-2</v>
      </c>
      <c r="F326" s="1">
        <v>0.178635776</v>
      </c>
      <c r="G326" s="1">
        <v>8.7102788E-2</v>
      </c>
      <c r="H326" s="2">
        <f t="shared" si="5"/>
        <v>0.349109004</v>
      </c>
      <c r="I326" s="6">
        <v>2.9285585999999999E-2</v>
      </c>
      <c r="J326" s="6">
        <v>9.8423766999999995E-2</v>
      </c>
      <c r="K326" s="6">
        <v>3.0752108E-2</v>
      </c>
      <c r="L326" s="6">
        <v>1.1566863E-2</v>
      </c>
      <c r="M326" s="6">
        <v>1.8629946000000001E-2</v>
      </c>
    </row>
    <row r="327" spans="1:13" x14ac:dyDescent="0.25">
      <c r="A327" t="s">
        <v>156</v>
      </c>
      <c r="B327" s="3">
        <v>0</v>
      </c>
      <c r="C327" s="1">
        <v>4.139027E-2</v>
      </c>
      <c r="D327" s="3">
        <v>5.4088500999999997E-2</v>
      </c>
      <c r="E327">
        <v>7.8440788999999997E-2</v>
      </c>
      <c r="F327" s="1">
        <v>0.20809919199999999</v>
      </c>
      <c r="G327" s="1">
        <v>5.8292229000000001E-2</v>
      </c>
      <c r="H327" s="2">
        <f t="shared" si="5"/>
        <v>0.34483220999999997</v>
      </c>
      <c r="I327" s="6">
        <v>2.7300872E-2</v>
      </c>
      <c r="J327" s="6">
        <v>8.9870687000000005E-2</v>
      </c>
      <c r="K327" s="6">
        <v>3.6368490000000003E-2</v>
      </c>
      <c r="L327" s="6">
        <v>9.8072939999999994E-3</v>
      </c>
      <c r="M327" s="6">
        <v>3.0235280000000002E-3</v>
      </c>
    </row>
    <row r="328" spans="1:13" x14ac:dyDescent="0.25">
      <c r="A328" t="s">
        <v>157</v>
      </c>
      <c r="B328" s="3">
        <v>1.9767000999999999E-2</v>
      </c>
      <c r="C328" s="1">
        <v>5.9322989E-2</v>
      </c>
      <c r="D328" s="3">
        <v>0.11095896</v>
      </c>
      <c r="E328">
        <v>5.6980665E-2</v>
      </c>
      <c r="F328" s="1">
        <v>0.164689795</v>
      </c>
      <c r="G328" s="1">
        <v>7.8301138000000006E-2</v>
      </c>
      <c r="H328" s="2">
        <f t="shared" si="5"/>
        <v>0.29997159800000001</v>
      </c>
      <c r="I328" s="6">
        <v>2.6922613000000001E-2</v>
      </c>
      <c r="J328" s="6">
        <v>7.1946495999999999E-2</v>
      </c>
      <c r="K328" s="6">
        <v>2.7902514E-2</v>
      </c>
      <c r="L328" s="6">
        <v>2.4682613999999999E-2</v>
      </c>
      <c r="M328" s="6">
        <v>8.3977399999999995E-4</v>
      </c>
    </row>
    <row r="329" spans="1:13" x14ac:dyDescent="0.25">
      <c r="A329" t="s">
        <v>394</v>
      </c>
      <c r="B329" s="3">
        <v>0</v>
      </c>
      <c r="C329" s="1">
        <v>4.2323056999999997E-2</v>
      </c>
      <c r="D329" s="3">
        <v>7.4496651999999997E-2</v>
      </c>
      <c r="E329">
        <v>8.0566114999999994E-2</v>
      </c>
      <c r="F329" s="1">
        <v>0.151901388</v>
      </c>
      <c r="G329" s="1">
        <v>0.111520514</v>
      </c>
      <c r="H329" s="2">
        <f t="shared" si="5"/>
        <v>0.34398801699999998</v>
      </c>
      <c r="I329" s="6">
        <v>3.1267425000000001E-2</v>
      </c>
      <c r="J329" s="6">
        <v>8.5588831000000004E-2</v>
      </c>
      <c r="K329" s="6">
        <v>2.4142401000000001E-2</v>
      </c>
      <c r="L329" s="6">
        <v>2.1832728999999999E-2</v>
      </c>
      <c r="M329" s="6">
        <v>6.413551E-3</v>
      </c>
    </row>
    <row r="330" spans="1:13" x14ac:dyDescent="0.25">
      <c r="A330" t="s">
        <v>158</v>
      </c>
      <c r="B330" s="3">
        <v>0</v>
      </c>
      <c r="C330" s="1">
        <v>4.8260207999999999E-2</v>
      </c>
      <c r="D330" s="3">
        <v>5.8771598000000001E-2</v>
      </c>
      <c r="E330">
        <v>8.1150301999999994E-2</v>
      </c>
      <c r="F330" s="1">
        <v>0.16946161100000001</v>
      </c>
      <c r="G330" s="1">
        <v>8.9786816000000005E-2</v>
      </c>
      <c r="H330" s="2">
        <f t="shared" si="5"/>
        <v>0.34039872900000001</v>
      </c>
      <c r="I330" s="6">
        <v>3.4691317999999999E-2</v>
      </c>
      <c r="J330" s="6">
        <v>8.4906199000000002E-2</v>
      </c>
      <c r="K330" s="6">
        <v>2.5010028E-2</v>
      </c>
      <c r="L330" s="6">
        <v>2.0968371E-2</v>
      </c>
      <c r="M330" s="6">
        <v>1.0786621999999999E-2</v>
      </c>
    </row>
    <row r="331" spans="1:13" x14ac:dyDescent="0.25">
      <c r="A331" t="s">
        <v>395</v>
      </c>
      <c r="B331" s="3">
        <v>1.0703545E-2</v>
      </c>
      <c r="C331" s="1">
        <v>5.0119082000000002E-2</v>
      </c>
      <c r="D331" s="3">
        <v>7.9300782E-2</v>
      </c>
      <c r="E331">
        <v>3.2322223999999997E-2</v>
      </c>
      <c r="F331" s="1">
        <v>0.14856756300000001</v>
      </c>
      <c r="G331" s="1">
        <v>9.5652159E-2</v>
      </c>
      <c r="H331" s="2">
        <f t="shared" si="5"/>
        <v>0.27654194600000004</v>
      </c>
      <c r="I331" s="6">
        <v>4.23433E-2</v>
      </c>
      <c r="J331" s="6">
        <v>5.2191974000000002E-2</v>
      </c>
      <c r="K331" s="6">
        <v>2.1072877E-2</v>
      </c>
      <c r="L331" s="6">
        <v>5.0140365999999999E-2</v>
      </c>
      <c r="M331" s="6">
        <v>8.9518449999999999E-3</v>
      </c>
    </row>
    <row r="332" spans="1:13" x14ac:dyDescent="0.25">
      <c r="A332" t="s">
        <v>159</v>
      </c>
      <c r="B332" s="3">
        <v>5.5236720000000003E-3</v>
      </c>
      <c r="C332" s="1">
        <v>5.6731993000000001E-2</v>
      </c>
      <c r="D332" s="3">
        <v>5.0725758000000003E-2</v>
      </c>
      <c r="E332">
        <v>6.4629961999999999E-2</v>
      </c>
      <c r="F332" s="1">
        <v>0.15995668599999999</v>
      </c>
      <c r="G332" s="1">
        <v>0.117580423</v>
      </c>
      <c r="H332" s="2">
        <f t="shared" si="5"/>
        <v>0.34216707099999999</v>
      </c>
      <c r="I332" s="6">
        <v>3.6480406E-2</v>
      </c>
      <c r="J332" s="6">
        <v>9.1818944E-2</v>
      </c>
      <c r="K332" s="6">
        <v>1.3609777E-2</v>
      </c>
      <c r="L332" s="6">
        <v>2.99197E-2</v>
      </c>
      <c r="M332" s="6">
        <v>1.1106621000000001E-2</v>
      </c>
    </row>
    <row r="333" spans="1:13" x14ac:dyDescent="0.25">
      <c r="A333" t="s">
        <v>396</v>
      </c>
      <c r="B333" s="3">
        <v>0</v>
      </c>
      <c r="C333" s="1">
        <v>4.0588942000000003E-2</v>
      </c>
      <c r="D333" s="3">
        <v>6.9241925999999995E-2</v>
      </c>
      <c r="E333">
        <v>7.3718694000000001E-2</v>
      </c>
      <c r="F333" s="1">
        <v>0.156739449</v>
      </c>
      <c r="G333" s="1">
        <v>0.107416048</v>
      </c>
      <c r="H333" s="2">
        <f t="shared" si="5"/>
        <v>0.33787419099999999</v>
      </c>
      <c r="I333" s="6">
        <v>2.7767940000000001E-2</v>
      </c>
      <c r="J333" s="6">
        <v>9.2754227999999994E-2</v>
      </c>
      <c r="K333" s="6">
        <v>2.2635321E-2</v>
      </c>
      <c r="L333" s="6">
        <v>6.9098079999999999E-3</v>
      </c>
      <c r="M333" s="6">
        <v>1.7839384999999999E-2</v>
      </c>
    </row>
    <row r="334" spans="1:13" x14ac:dyDescent="0.25">
      <c r="A334" t="s">
        <v>397</v>
      </c>
      <c r="B334" s="3">
        <v>1.1433249999999999E-3</v>
      </c>
      <c r="C334" s="1">
        <v>4.2983831E-2</v>
      </c>
      <c r="D334" s="3">
        <v>9.9239045999999997E-2</v>
      </c>
      <c r="E334">
        <v>8.1169766000000004E-2</v>
      </c>
      <c r="F334" s="1">
        <v>6.8281593000000002E-2</v>
      </c>
      <c r="G334" s="1">
        <v>0.122036116</v>
      </c>
      <c r="H334" s="2">
        <f t="shared" si="5"/>
        <v>0.27148747500000003</v>
      </c>
      <c r="I334" s="6">
        <v>4.1973027000000003E-2</v>
      </c>
      <c r="J334" s="6">
        <v>7.7964572999999995E-2</v>
      </c>
      <c r="K334" s="6">
        <v>1.6359722E-2</v>
      </c>
      <c r="L334" s="6">
        <v>1.7587704999999999E-2</v>
      </c>
      <c r="M334" s="6">
        <v>1.4765411000000001E-2</v>
      </c>
    </row>
    <row r="335" spans="1:13" x14ac:dyDescent="0.25">
      <c r="A335" t="s">
        <v>160</v>
      </c>
      <c r="B335" s="3">
        <v>7.1248500000000003E-3</v>
      </c>
      <c r="C335" s="1">
        <v>4.8790828000000001E-2</v>
      </c>
      <c r="D335" s="3">
        <v>5.2167910999999997E-2</v>
      </c>
      <c r="E335">
        <v>4.8071152999999998E-2</v>
      </c>
      <c r="F335" s="1">
        <v>0.16457945099999999</v>
      </c>
      <c r="G335" s="1">
        <v>0.109682031</v>
      </c>
      <c r="H335" s="2">
        <f t="shared" si="5"/>
        <v>0.32233263499999998</v>
      </c>
      <c r="I335" s="6">
        <v>4.0326277000000001E-2</v>
      </c>
      <c r="J335" s="6">
        <v>8.6127933000000004E-2</v>
      </c>
      <c r="K335" s="6">
        <v>3.0066071999999999E-2</v>
      </c>
      <c r="L335" s="6">
        <v>2.0859936999999999E-2</v>
      </c>
      <c r="M335" s="6">
        <v>1.9549717000000001E-2</v>
      </c>
    </row>
    <row r="336" spans="1:13" x14ac:dyDescent="0.25">
      <c r="A336" t="s">
        <v>398</v>
      </c>
      <c r="B336" s="3">
        <v>0</v>
      </c>
      <c r="C336" s="1">
        <v>5.0918063999999999E-2</v>
      </c>
      <c r="D336" s="3">
        <v>5.6737520999999999E-2</v>
      </c>
      <c r="E336">
        <v>7.1814629000000005E-2</v>
      </c>
      <c r="F336" s="1">
        <v>0.14463648700000001</v>
      </c>
      <c r="G336" s="1">
        <v>0.104689502</v>
      </c>
      <c r="H336" s="2">
        <f t="shared" si="5"/>
        <v>0.32114061799999999</v>
      </c>
      <c r="I336" s="6">
        <v>2.5252782000000001E-2</v>
      </c>
      <c r="J336" s="6">
        <v>9.5690971E-2</v>
      </c>
      <c r="K336" s="6">
        <v>2.2230822000000001E-2</v>
      </c>
      <c r="L336" s="6">
        <v>2.2455064E-2</v>
      </c>
      <c r="M336" s="6">
        <v>1.500287E-2</v>
      </c>
    </row>
    <row r="337" spans="1:13" x14ac:dyDescent="0.25">
      <c r="A337" t="s">
        <v>399</v>
      </c>
      <c r="B337" s="3">
        <v>0</v>
      </c>
      <c r="C337" s="1">
        <v>4.0126758999999998E-2</v>
      </c>
      <c r="D337" s="3">
        <v>5.1270378999999998E-2</v>
      </c>
      <c r="E337">
        <v>0.105398635</v>
      </c>
      <c r="F337" s="1">
        <v>0.15442452500000001</v>
      </c>
      <c r="G337" s="1">
        <v>9.9111914999999995E-2</v>
      </c>
      <c r="H337" s="2">
        <f t="shared" si="5"/>
        <v>0.35893507499999999</v>
      </c>
      <c r="I337" s="6">
        <v>3.6729218000000001E-2</v>
      </c>
      <c r="J337" s="6">
        <v>7.1698080999999997E-2</v>
      </c>
      <c r="K337" s="6">
        <v>7.7919920000000002E-3</v>
      </c>
      <c r="L337" s="6">
        <v>2.2894013000000001E-2</v>
      </c>
      <c r="M337" s="6">
        <v>1.9283460999999998E-2</v>
      </c>
    </row>
    <row r="338" spans="1:13" x14ac:dyDescent="0.25">
      <c r="A338" t="s">
        <v>161</v>
      </c>
      <c r="B338" s="3">
        <v>0</v>
      </c>
      <c r="C338" s="1">
        <v>4.9866967999999998E-2</v>
      </c>
      <c r="D338" s="3">
        <v>4.6607888E-2</v>
      </c>
      <c r="E338">
        <v>7.0385169999999997E-2</v>
      </c>
      <c r="F338" s="1">
        <v>0.17844897500000001</v>
      </c>
      <c r="G338" s="1">
        <v>8.5641999999999996E-2</v>
      </c>
      <c r="H338" s="2">
        <f t="shared" si="5"/>
        <v>0.334476145</v>
      </c>
      <c r="I338" s="6">
        <v>2.9599157000000001E-2</v>
      </c>
      <c r="J338" s="6">
        <v>0.109398539</v>
      </c>
      <c r="K338" s="6">
        <v>1.446353E-2</v>
      </c>
      <c r="L338" s="6">
        <v>1.38072E-2</v>
      </c>
      <c r="M338" s="6">
        <v>1.4047287E-2</v>
      </c>
    </row>
    <row r="339" spans="1:13" x14ac:dyDescent="0.25">
      <c r="A339" t="s">
        <v>400</v>
      </c>
      <c r="B339" s="3">
        <v>0</v>
      </c>
      <c r="C339" s="1">
        <v>4.6623056000000003E-2</v>
      </c>
      <c r="D339" s="3">
        <v>5.9342851000000002E-2</v>
      </c>
      <c r="E339">
        <v>7.1441436999999997E-2</v>
      </c>
      <c r="F339" s="1">
        <v>0.16557492200000001</v>
      </c>
      <c r="G339" s="1">
        <v>9.0975246999999995E-2</v>
      </c>
      <c r="H339" s="2">
        <f t="shared" si="5"/>
        <v>0.32799160599999999</v>
      </c>
      <c r="I339" s="6">
        <v>3.7827160999999998E-2</v>
      </c>
      <c r="J339" s="6">
        <v>7.7371436000000002E-2</v>
      </c>
      <c r="K339" s="6">
        <v>2.3946248999999999E-2</v>
      </c>
      <c r="L339" s="6">
        <v>4.2215722999999997E-2</v>
      </c>
      <c r="M339" s="6">
        <v>7.1289370000000001E-3</v>
      </c>
    </row>
    <row r="340" spans="1:13" x14ac:dyDescent="0.25">
      <c r="A340" t="s">
        <v>162</v>
      </c>
      <c r="B340" s="3">
        <v>0</v>
      </c>
      <c r="C340" s="1">
        <v>3.8951859999999998E-2</v>
      </c>
      <c r="D340" s="3">
        <v>3.3837006000000003E-2</v>
      </c>
      <c r="E340">
        <v>5.7755520999999997E-2</v>
      </c>
      <c r="F340" s="1">
        <v>0.199711267</v>
      </c>
      <c r="G340" s="1">
        <v>9.1319365999999999E-2</v>
      </c>
      <c r="H340" s="2">
        <f t="shared" si="5"/>
        <v>0.34878615400000001</v>
      </c>
      <c r="I340" s="6">
        <v>4.0632824999999997E-2</v>
      </c>
      <c r="J340" s="6">
        <v>7.0573242999999994E-2</v>
      </c>
      <c r="K340" s="6">
        <v>1.0656238E-2</v>
      </c>
      <c r="L340" s="6">
        <v>2.8645075999999998E-2</v>
      </c>
      <c r="M340" s="6">
        <v>1.2540526E-2</v>
      </c>
    </row>
    <row r="341" spans="1:13" x14ac:dyDescent="0.25">
      <c r="A341" t="s">
        <v>401</v>
      </c>
      <c r="B341" s="3">
        <v>9.5034579999999994E-3</v>
      </c>
      <c r="C341" s="1">
        <v>4.2230895999999997E-2</v>
      </c>
      <c r="D341" s="3">
        <v>6.3250887000000006E-2</v>
      </c>
      <c r="E341">
        <v>7.9317251000000005E-2</v>
      </c>
      <c r="F341" s="1">
        <v>0.19471588300000001</v>
      </c>
      <c r="G341" s="1">
        <v>0.10456536800000001</v>
      </c>
      <c r="H341" s="2">
        <f t="shared" si="5"/>
        <v>0.378598502</v>
      </c>
      <c r="I341" s="6">
        <v>3.6843654000000003E-2</v>
      </c>
      <c r="J341" s="6">
        <v>8.8134223999999997E-2</v>
      </c>
      <c r="K341" s="6">
        <v>2.6676009000000001E-2</v>
      </c>
      <c r="L341" s="6">
        <v>2.6133739999999999E-2</v>
      </c>
      <c r="M341" s="6">
        <v>1.4427229999999999E-3</v>
      </c>
    </row>
    <row r="342" spans="1:13" x14ac:dyDescent="0.25">
      <c r="A342" t="s">
        <v>402</v>
      </c>
      <c r="B342" s="3">
        <v>0</v>
      </c>
      <c r="C342" s="1">
        <v>4.8613972999999998E-2</v>
      </c>
      <c r="D342" s="3">
        <v>5.1515846999999997E-2</v>
      </c>
      <c r="E342">
        <v>0.110789199</v>
      </c>
      <c r="F342" s="1">
        <v>0.201599316</v>
      </c>
      <c r="G342" s="1">
        <v>0.116732523</v>
      </c>
      <c r="H342" s="2">
        <f t="shared" si="5"/>
        <v>0.42912103800000001</v>
      </c>
      <c r="I342" s="6">
        <v>4.4466279999999997E-2</v>
      </c>
      <c r="J342" s="6">
        <v>5.2264844999999997E-2</v>
      </c>
      <c r="K342" s="6">
        <v>2.0341796999999998E-2</v>
      </c>
      <c r="L342" s="6">
        <v>6.3832300000000002E-3</v>
      </c>
      <c r="M342" s="6">
        <v>6.3030819999999998E-3</v>
      </c>
    </row>
    <row r="343" spans="1:13" x14ac:dyDescent="0.25">
      <c r="A343" t="s">
        <v>163</v>
      </c>
      <c r="B343" s="3">
        <v>0</v>
      </c>
      <c r="C343" s="1">
        <v>5.6928767999999998E-2</v>
      </c>
      <c r="D343" s="3">
        <v>5.5458418000000002E-2</v>
      </c>
      <c r="E343">
        <v>4.0245731999999999E-2</v>
      </c>
      <c r="F343" s="1">
        <v>0.15764990100000001</v>
      </c>
      <c r="G343" s="1">
        <v>9.4328740999999994E-2</v>
      </c>
      <c r="H343" s="2">
        <f t="shared" si="5"/>
        <v>0.29222437400000001</v>
      </c>
      <c r="I343" s="6">
        <v>3.2582767999999998E-2</v>
      </c>
      <c r="J343" s="6">
        <v>9.5465493999999998E-2</v>
      </c>
      <c r="K343" s="6">
        <v>3.5294658999999999E-2</v>
      </c>
      <c r="L343" s="6">
        <v>2.5897711E-2</v>
      </c>
      <c r="M343" s="6">
        <v>1.0560063E-2</v>
      </c>
    </row>
    <row r="344" spans="1:13" x14ac:dyDescent="0.25">
      <c r="A344" t="s">
        <v>403</v>
      </c>
      <c r="B344" s="3">
        <v>0</v>
      </c>
      <c r="C344" s="1">
        <v>4.7883771999999998E-2</v>
      </c>
      <c r="D344" s="3">
        <v>6.0797118999999997E-2</v>
      </c>
      <c r="E344">
        <v>4.6823537999999998E-2</v>
      </c>
      <c r="F344" s="1">
        <v>0.15406725600000001</v>
      </c>
      <c r="G344" s="1">
        <v>0.112591119</v>
      </c>
      <c r="H344" s="2">
        <f t="shared" si="5"/>
        <v>0.313481913</v>
      </c>
      <c r="I344" s="6">
        <v>2.6532228000000001E-2</v>
      </c>
      <c r="J344" s="6">
        <v>9.2798409999999998E-2</v>
      </c>
      <c r="K344" s="6">
        <v>1.5310663E-2</v>
      </c>
      <c r="L344" s="6">
        <v>0</v>
      </c>
      <c r="M344" s="6">
        <v>1.8706323E-2</v>
      </c>
    </row>
    <row r="345" spans="1:13" x14ac:dyDescent="0.25">
      <c r="A345" t="s">
        <v>164</v>
      </c>
      <c r="B345" s="3">
        <v>1.3144813999999999E-2</v>
      </c>
      <c r="C345" s="1">
        <v>3.8103363000000001E-2</v>
      </c>
      <c r="D345" s="3">
        <v>6.4676997E-2</v>
      </c>
      <c r="E345">
        <v>7.3832898999999994E-2</v>
      </c>
      <c r="F345" s="1">
        <v>0.17123456100000001</v>
      </c>
      <c r="G345" s="1">
        <v>9.6202646000000003E-2</v>
      </c>
      <c r="H345" s="2">
        <f t="shared" si="5"/>
        <v>0.34127010600000002</v>
      </c>
      <c r="I345" s="6">
        <v>2.8736462000000001E-2</v>
      </c>
      <c r="J345" s="6">
        <v>7.2059825999999993E-2</v>
      </c>
      <c r="K345" s="6">
        <v>2.7993311E-2</v>
      </c>
      <c r="L345" s="6">
        <v>3.0154746999999999E-2</v>
      </c>
      <c r="M345" s="6">
        <v>1.0579470000000001E-2</v>
      </c>
    </row>
    <row r="346" spans="1:13" x14ac:dyDescent="0.25">
      <c r="A346" t="s">
        <v>165</v>
      </c>
      <c r="B346" s="3">
        <v>0</v>
      </c>
      <c r="C346" s="1">
        <v>6.0694083000000003E-2</v>
      </c>
      <c r="D346" s="3">
        <v>3.7207151000000001E-2</v>
      </c>
      <c r="E346">
        <v>6.9927726999999995E-2</v>
      </c>
      <c r="F346" s="1">
        <v>0.18303233699999999</v>
      </c>
      <c r="G346" s="1">
        <v>0.10271904499999999</v>
      </c>
      <c r="H346" s="2">
        <f t="shared" si="5"/>
        <v>0.35567910899999999</v>
      </c>
      <c r="I346" s="6">
        <v>4.3590956E-2</v>
      </c>
      <c r="J346" s="6">
        <v>8.8670813000000001E-2</v>
      </c>
      <c r="K346" s="6">
        <v>2.9978956000000001E-2</v>
      </c>
      <c r="L346" s="6">
        <v>3.7284829999999999E-3</v>
      </c>
      <c r="M346" s="6">
        <v>2.3945438999999999E-2</v>
      </c>
    </row>
    <row r="347" spans="1:13" x14ac:dyDescent="0.25">
      <c r="A347" t="s">
        <v>166</v>
      </c>
      <c r="B347" s="3">
        <v>2.4202859999999998E-3</v>
      </c>
      <c r="C347" s="1">
        <v>4.2701798999999999E-2</v>
      </c>
      <c r="D347" s="3">
        <v>6.2871593000000003E-2</v>
      </c>
      <c r="E347">
        <v>7.7208889000000003E-2</v>
      </c>
      <c r="F347" s="1">
        <v>0.20510104100000001</v>
      </c>
      <c r="G347" s="1">
        <v>0.115212578</v>
      </c>
      <c r="H347" s="2">
        <f t="shared" si="5"/>
        <v>0.39752250800000005</v>
      </c>
      <c r="I347" s="6">
        <v>4.1995328999999998E-2</v>
      </c>
      <c r="J347" s="6">
        <v>5.3692819000000003E-2</v>
      </c>
      <c r="K347" s="6">
        <v>2.0266005E-2</v>
      </c>
      <c r="L347" s="6">
        <v>3.4530903000000002E-2</v>
      </c>
      <c r="M347" s="6">
        <v>1.6222216000000001E-2</v>
      </c>
    </row>
    <row r="348" spans="1:13" x14ac:dyDescent="0.25">
      <c r="A348" t="s">
        <v>404</v>
      </c>
      <c r="B348" s="3">
        <v>5.3255100000000003E-4</v>
      </c>
      <c r="C348" s="1">
        <v>4.1206263E-2</v>
      </c>
      <c r="D348" s="3">
        <v>9.1671304999999995E-2</v>
      </c>
      <c r="E348">
        <v>0.10849020500000001</v>
      </c>
      <c r="F348" s="1">
        <v>0.138909491</v>
      </c>
      <c r="G348" s="1">
        <v>0.13209148800000001</v>
      </c>
      <c r="H348" s="2">
        <f t="shared" si="5"/>
        <v>0.37949118400000004</v>
      </c>
      <c r="I348" s="6">
        <v>5.0034725000000002E-2</v>
      </c>
      <c r="J348" s="6">
        <v>8.4163796999999999E-2</v>
      </c>
      <c r="K348" s="6">
        <v>8.7507420000000006E-3</v>
      </c>
      <c r="L348" s="6">
        <v>4.625596E-3</v>
      </c>
      <c r="M348" s="6">
        <v>0</v>
      </c>
    </row>
    <row r="349" spans="1:13" x14ac:dyDescent="0.25">
      <c r="A349" t="s">
        <v>167</v>
      </c>
      <c r="B349" s="3">
        <v>0</v>
      </c>
      <c r="C349" s="1">
        <v>6.0532078000000003E-2</v>
      </c>
      <c r="D349" s="3">
        <v>6.9158381000000005E-2</v>
      </c>
      <c r="E349">
        <v>9.1059919000000003E-2</v>
      </c>
      <c r="F349" s="1">
        <v>0.16977910399999999</v>
      </c>
      <c r="G349" s="1">
        <v>6.1304003000000003E-2</v>
      </c>
      <c r="H349" s="2">
        <f t="shared" si="5"/>
        <v>0.322143026</v>
      </c>
      <c r="I349" s="6">
        <v>2.1459490000000001E-2</v>
      </c>
      <c r="J349" s="6">
        <v>9.1561201999999994E-2</v>
      </c>
      <c r="K349" s="6">
        <v>3.8575079999999998E-2</v>
      </c>
      <c r="L349" s="6">
        <v>1.9757736000000001E-2</v>
      </c>
      <c r="M349" s="6">
        <v>6.9439949999999997E-3</v>
      </c>
    </row>
    <row r="350" spans="1:13" x14ac:dyDescent="0.25">
      <c r="A350" t="s">
        <v>168</v>
      </c>
      <c r="B350" s="3">
        <v>2.7686080000000001E-3</v>
      </c>
      <c r="C350" s="1">
        <v>3.2076681000000003E-2</v>
      </c>
      <c r="D350" s="3">
        <v>6.3507468999999997E-2</v>
      </c>
      <c r="E350">
        <v>5.8139374000000001E-2</v>
      </c>
      <c r="F350" s="1">
        <v>0.201304396</v>
      </c>
      <c r="G350" s="1">
        <v>8.9474635999999996E-2</v>
      </c>
      <c r="H350" s="2">
        <f t="shared" si="5"/>
        <v>0.34891840600000001</v>
      </c>
      <c r="I350" s="6">
        <v>2.6237043000000002E-2</v>
      </c>
      <c r="J350" s="6">
        <v>7.7817765999999997E-2</v>
      </c>
      <c r="K350" s="6">
        <v>2.74772E-2</v>
      </c>
      <c r="L350" s="6">
        <v>2.5365871000000002E-2</v>
      </c>
      <c r="M350" s="6">
        <v>5.9537419999999997E-3</v>
      </c>
    </row>
    <row r="351" spans="1:13" x14ac:dyDescent="0.25">
      <c r="A351" t="s">
        <v>405</v>
      </c>
      <c r="B351" s="3">
        <v>0</v>
      </c>
      <c r="C351" s="1">
        <v>6.0812597000000003E-2</v>
      </c>
      <c r="D351" s="3">
        <v>7.3513288999999996E-2</v>
      </c>
      <c r="E351">
        <v>5.4148426E-2</v>
      </c>
      <c r="F351" s="1">
        <v>0.144302284</v>
      </c>
      <c r="G351" s="1">
        <v>8.7795294999999995E-2</v>
      </c>
      <c r="H351" s="2">
        <f t="shared" si="5"/>
        <v>0.28624600499999997</v>
      </c>
      <c r="I351" s="6">
        <v>3.5710073000000002E-2</v>
      </c>
      <c r="J351" s="6">
        <v>9.1650532000000007E-2</v>
      </c>
      <c r="K351" s="6">
        <v>1.9465593999999999E-2</v>
      </c>
      <c r="L351" s="6">
        <v>2.406839E-3</v>
      </c>
      <c r="M351" s="6">
        <v>1.6604265999999999E-2</v>
      </c>
    </row>
    <row r="352" spans="1:13" x14ac:dyDescent="0.25">
      <c r="A352" t="s">
        <v>406</v>
      </c>
      <c r="B352" s="3">
        <v>0</v>
      </c>
      <c r="C352" s="1">
        <v>2.831243E-2</v>
      </c>
      <c r="D352" s="3">
        <v>9.6356021E-2</v>
      </c>
      <c r="E352">
        <v>5.9750626000000001E-2</v>
      </c>
      <c r="F352" s="1">
        <v>0.13700078700000001</v>
      </c>
      <c r="G352" s="1">
        <v>9.3224845000000001E-2</v>
      </c>
      <c r="H352" s="2">
        <f t="shared" si="5"/>
        <v>0.28997625800000004</v>
      </c>
      <c r="I352" s="6">
        <v>3.2271086999999997E-2</v>
      </c>
      <c r="J352" s="6">
        <v>9.6711927000000003E-2</v>
      </c>
      <c r="K352" s="6">
        <v>1.7698993E-2</v>
      </c>
      <c r="L352" s="6">
        <v>3.6623798999999999E-2</v>
      </c>
      <c r="M352" s="6">
        <v>1.5824312E-2</v>
      </c>
    </row>
    <row r="353" spans="1:13" x14ac:dyDescent="0.25">
      <c r="A353" t="s">
        <v>407</v>
      </c>
      <c r="B353" s="3">
        <v>1.1736174E-2</v>
      </c>
      <c r="C353" s="1">
        <v>5.2126763E-2</v>
      </c>
      <c r="D353" s="3">
        <v>6.7822705999999996E-2</v>
      </c>
      <c r="E353">
        <v>5.5174128000000003E-2</v>
      </c>
      <c r="F353" s="1">
        <v>5.9823824999999997E-2</v>
      </c>
      <c r="G353" s="1">
        <v>6.9182361999999997E-2</v>
      </c>
      <c r="H353" s="2">
        <f t="shared" si="5"/>
        <v>0.18418031499999998</v>
      </c>
      <c r="I353" s="6">
        <v>2.7499305000000002E-2</v>
      </c>
      <c r="J353" s="6">
        <v>0.142944285</v>
      </c>
      <c r="K353" s="6">
        <v>2.4685531E-2</v>
      </c>
      <c r="L353" s="6">
        <v>1.6032101999999999E-2</v>
      </c>
      <c r="M353" s="6">
        <v>7.3292039999999998E-3</v>
      </c>
    </row>
    <row r="354" spans="1:13" x14ac:dyDescent="0.25">
      <c r="A354" t="s">
        <v>169</v>
      </c>
      <c r="B354" s="3">
        <v>0</v>
      </c>
      <c r="C354" s="1">
        <v>7.8157412999999995E-2</v>
      </c>
      <c r="D354" s="3">
        <v>3.8524572999999999E-2</v>
      </c>
      <c r="E354">
        <v>7.0825243999999996E-2</v>
      </c>
      <c r="F354" s="1">
        <v>0.194750373</v>
      </c>
      <c r="G354" s="1">
        <v>8.8868840000000004E-2</v>
      </c>
      <c r="H354" s="2">
        <f t="shared" si="5"/>
        <v>0.35444445699999999</v>
      </c>
      <c r="I354" s="6">
        <v>4.2375985999999997E-2</v>
      </c>
      <c r="J354" s="6">
        <v>8.0120567000000004E-2</v>
      </c>
      <c r="K354" s="6">
        <v>4.2520689999999998E-3</v>
      </c>
      <c r="L354" s="6">
        <v>9.1615770000000006E-3</v>
      </c>
      <c r="M354" s="6">
        <v>6.4178910000000002E-3</v>
      </c>
    </row>
    <row r="355" spans="1:13" x14ac:dyDescent="0.25">
      <c r="A355" t="s">
        <v>170</v>
      </c>
      <c r="B355" s="3">
        <v>4.2247329999999996E-3</v>
      </c>
      <c r="C355" s="1">
        <v>5.2651137000000001E-2</v>
      </c>
      <c r="D355" s="3">
        <v>4.4802116000000003E-2</v>
      </c>
      <c r="E355">
        <v>5.8337021000000003E-2</v>
      </c>
      <c r="F355" s="1">
        <v>0.18688406299999999</v>
      </c>
      <c r="G355" s="1">
        <v>9.1478224999999996E-2</v>
      </c>
      <c r="H355" s="2">
        <f t="shared" si="5"/>
        <v>0.336699309</v>
      </c>
      <c r="I355" s="6">
        <v>3.6196952999999997E-2</v>
      </c>
      <c r="J355" s="6">
        <v>7.8664333000000003E-2</v>
      </c>
      <c r="K355" s="6">
        <v>2.6555960999999999E-2</v>
      </c>
      <c r="L355" s="6">
        <v>2.7076297999999999E-2</v>
      </c>
      <c r="M355" s="6">
        <v>3.4243279999999999E-3</v>
      </c>
    </row>
    <row r="356" spans="1:13" x14ac:dyDescent="0.25">
      <c r="A356" t="s">
        <v>408</v>
      </c>
      <c r="B356" s="3">
        <v>0</v>
      </c>
      <c r="C356" s="1">
        <v>5.6140481999999998E-2</v>
      </c>
      <c r="D356" s="3">
        <v>5.5187906000000002E-2</v>
      </c>
      <c r="E356">
        <v>0.142701037</v>
      </c>
      <c r="F356" s="1">
        <v>0.16975279700000001</v>
      </c>
      <c r="G356" s="1">
        <v>0.11616478700000001</v>
      </c>
      <c r="H356" s="2">
        <f t="shared" si="5"/>
        <v>0.42861862100000003</v>
      </c>
      <c r="I356" s="6">
        <v>4.8662819000000003E-2</v>
      </c>
      <c r="J356" s="6">
        <v>0.115084305</v>
      </c>
      <c r="K356" s="6">
        <v>6.5335499999999999E-3</v>
      </c>
      <c r="L356" s="6">
        <v>0</v>
      </c>
      <c r="M356" s="6">
        <v>2.1977949999999998E-3</v>
      </c>
    </row>
    <row r="357" spans="1:13" x14ac:dyDescent="0.25">
      <c r="A357" t="s">
        <v>171</v>
      </c>
      <c r="B357" s="3">
        <v>1.7747958000000001E-2</v>
      </c>
      <c r="C357" s="1">
        <v>7.5633388999999995E-2</v>
      </c>
      <c r="D357" s="3">
        <v>7.7071381999999994E-2</v>
      </c>
      <c r="E357">
        <v>6.5811584000000006E-2</v>
      </c>
      <c r="F357" s="1">
        <v>0.20597842799999999</v>
      </c>
      <c r="G357" s="1">
        <v>0.120219305</v>
      </c>
      <c r="H357" s="2">
        <f t="shared" si="5"/>
        <v>0.39200931699999997</v>
      </c>
      <c r="I357" s="6">
        <v>4.1558284000000001E-2</v>
      </c>
      <c r="J357" s="6">
        <v>8.3271383000000004E-2</v>
      </c>
      <c r="K357" s="6">
        <v>4.0104830000000001E-2</v>
      </c>
      <c r="L357" s="6">
        <v>1.6790467E-2</v>
      </c>
      <c r="M357" s="6">
        <v>0</v>
      </c>
    </row>
    <row r="358" spans="1:13" x14ac:dyDescent="0.25">
      <c r="A358" t="s">
        <v>172</v>
      </c>
      <c r="B358" s="3">
        <v>0</v>
      </c>
      <c r="C358" s="1">
        <v>4.4352903999999999E-2</v>
      </c>
      <c r="D358" s="3">
        <v>4.8237820000000001E-2</v>
      </c>
      <c r="E358">
        <v>7.4437155000000005E-2</v>
      </c>
      <c r="F358" s="1">
        <v>0.170522548</v>
      </c>
      <c r="G358" s="1">
        <v>9.2686449000000004E-2</v>
      </c>
      <c r="H358" s="2">
        <f t="shared" si="5"/>
        <v>0.33764615200000003</v>
      </c>
      <c r="I358" s="6">
        <v>4.2405403000000001E-2</v>
      </c>
      <c r="J358" s="6">
        <v>7.2657346999999997E-2</v>
      </c>
      <c r="K358" s="6">
        <v>3.3123178000000003E-2</v>
      </c>
      <c r="L358" s="6">
        <v>3.3484750000000001E-2</v>
      </c>
      <c r="M358" s="6">
        <v>1.0252656000000001E-2</v>
      </c>
    </row>
    <row r="359" spans="1:13" x14ac:dyDescent="0.25">
      <c r="A359" t="s">
        <v>409</v>
      </c>
      <c r="B359" s="3">
        <v>0</v>
      </c>
      <c r="C359" s="1">
        <v>5.3955563999999998E-2</v>
      </c>
      <c r="D359" s="3">
        <v>5.8446171999999998E-2</v>
      </c>
      <c r="E359">
        <v>6.8648841000000002E-2</v>
      </c>
      <c r="F359" s="1">
        <v>0.16880948900000001</v>
      </c>
      <c r="G359" s="1">
        <v>8.1943576000000004E-2</v>
      </c>
      <c r="H359" s="2">
        <f t="shared" si="5"/>
        <v>0.31940190600000001</v>
      </c>
      <c r="I359" s="6">
        <v>3.5503592E-2</v>
      </c>
      <c r="J359" s="6">
        <v>4.9533184000000001E-2</v>
      </c>
      <c r="K359" s="6">
        <v>3.7600596999999999E-2</v>
      </c>
      <c r="L359" s="6">
        <v>1.7798267999999999E-2</v>
      </c>
      <c r="M359" s="6">
        <v>4.320717E-3</v>
      </c>
    </row>
    <row r="360" spans="1:13" x14ac:dyDescent="0.25">
      <c r="A360" t="s">
        <v>173</v>
      </c>
      <c r="B360" s="3">
        <v>0</v>
      </c>
      <c r="C360" s="1">
        <v>6.1254056000000001E-2</v>
      </c>
      <c r="D360" s="3">
        <v>2.1228813999999999E-2</v>
      </c>
      <c r="E360">
        <v>5.9948077000000002E-2</v>
      </c>
      <c r="F360" s="1">
        <v>0.16524562800000001</v>
      </c>
      <c r="G360" s="1">
        <v>0.10268066200000001</v>
      </c>
      <c r="H360" s="2">
        <f t="shared" si="5"/>
        <v>0.32787436700000006</v>
      </c>
      <c r="I360" s="6">
        <v>3.4106023999999999E-2</v>
      </c>
      <c r="J360" s="6">
        <v>8.2582946000000004E-2</v>
      </c>
      <c r="K360" s="6">
        <v>2.5806842E-2</v>
      </c>
      <c r="L360" s="6">
        <v>1.7778217999999998E-2</v>
      </c>
      <c r="M360" s="6">
        <v>1.3879091E-2</v>
      </c>
    </row>
    <row r="361" spans="1:13" x14ac:dyDescent="0.25">
      <c r="A361" t="s">
        <v>410</v>
      </c>
      <c r="B361" s="3">
        <v>2.765104E-3</v>
      </c>
      <c r="C361" s="1">
        <v>5.2843868000000002E-2</v>
      </c>
      <c r="D361" s="3">
        <v>5.3086550000000003E-2</v>
      </c>
      <c r="E361">
        <v>6.4906744000000002E-2</v>
      </c>
      <c r="F361" s="1">
        <v>0.19672450999999999</v>
      </c>
      <c r="G361" s="1">
        <v>7.8944923E-2</v>
      </c>
      <c r="H361" s="2">
        <f t="shared" si="5"/>
        <v>0.34057617699999998</v>
      </c>
      <c r="I361" s="6">
        <v>3.6580705999999998E-2</v>
      </c>
      <c r="J361" s="6">
        <v>9.0593556000000006E-2</v>
      </c>
      <c r="K361" s="6">
        <v>2.2636804999999999E-2</v>
      </c>
      <c r="L361" s="6">
        <v>9.5606960000000005E-3</v>
      </c>
      <c r="M361" s="6">
        <v>2.0548373000000002E-2</v>
      </c>
    </row>
    <row r="362" spans="1:13" x14ac:dyDescent="0.25">
      <c r="A362" t="s">
        <v>411</v>
      </c>
      <c r="B362" s="3">
        <v>1.3362002E-2</v>
      </c>
      <c r="C362" s="1">
        <v>1.8077612999999999E-2</v>
      </c>
      <c r="D362" s="3">
        <v>6.4649744999999995E-2</v>
      </c>
      <c r="E362">
        <v>0.12720073000000001</v>
      </c>
      <c r="F362" s="1">
        <v>0.142522125</v>
      </c>
      <c r="G362" s="1">
        <v>0.13604920600000001</v>
      </c>
      <c r="H362" s="2">
        <f t="shared" si="5"/>
        <v>0.40577206100000007</v>
      </c>
      <c r="I362" s="6">
        <v>4.6121823999999999E-2</v>
      </c>
      <c r="J362" s="6">
        <v>3.8877284999999998E-2</v>
      </c>
      <c r="K362" s="6">
        <v>1.5899257E-2</v>
      </c>
      <c r="L362" s="6">
        <v>1.0390979999999999E-2</v>
      </c>
      <c r="M362" s="6">
        <v>1.7874061E-2</v>
      </c>
    </row>
    <row r="363" spans="1:13" x14ac:dyDescent="0.25">
      <c r="A363" t="s">
        <v>412</v>
      </c>
      <c r="B363" s="3">
        <v>3.0572999999999999E-4</v>
      </c>
      <c r="C363" s="1">
        <v>3.7506379999999999E-2</v>
      </c>
      <c r="D363" s="3">
        <v>6.6026056E-2</v>
      </c>
      <c r="E363">
        <v>7.7038948999999995E-2</v>
      </c>
      <c r="F363" s="1">
        <v>0.14003991700000001</v>
      </c>
      <c r="G363" s="1">
        <v>0.118232913</v>
      </c>
      <c r="H363" s="2">
        <f t="shared" si="5"/>
        <v>0.33531177899999998</v>
      </c>
      <c r="I363" s="6">
        <v>4.3423503000000002E-2</v>
      </c>
      <c r="J363" s="6">
        <v>7.5171593999999994E-2</v>
      </c>
      <c r="K363" s="6">
        <v>2.1539543000000001E-2</v>
      </c>
      <c r="L363" s="6">
        <v>1.6268686000000001E-2</v>
      </c>
      <c r="M363" s="6">
        <v>0</v>
      </c>
    </row>
    <row r="364" spans="1:13" x14ac:dyDescent="0.25">
      <c r="A364" t="s">
        <v>413</v>
      </c>
      <c r="B364" s="3">
        <v>0</v>
      </c>
      <c r="C364" s="1">
        <v>4.4448921000000002E-2</v>
      </c>
      <c r="D364" s="3">
        <v>6.4426880000000006E-2</v>
      </c>
      <c r="E364">
        <v>5.7595960000000002E-2</v>
      </c>
      <c r="F364" s="1">
        <v>0.173816313</v>
      </c>
      <c r="G364" s="1">
        <v>9.4358705000000001E-2</v>
      </c>
      <c r="H364" s="2">
        <f t="shared" si="5"/>
        <v>0.32577097799999999</v>
      </c>
      <c r="I364" s="6">
        <v>2.7837191000000001E-2</v>
      </c>
      <c r="J364" s="6">
        <v>9.1137319999999994E-2</v>
      </c>
      <c r="K364" s="6">
        <v>1.8718230999999998E-2</v>
      </c>
      <c r="L364" s="6">
        <v>2.1207793999999999E-2</v>
      </c>
      <c r="M364" s="6">
        <v>1.5404655999999999E-2</v>
      </c>
    </row>
    <row r="365" spans="1:13" x14ac:dyDescent="0.25">
      <c r="A365" t="s">
        <v>174</v>
      </c>
      <c r="B365" s="3">
        <v>5.5193839999999996E-3</v>
      </c>
      <c r="C365" s="1">
        <v>4.8681386E-2</v>
      </c>
      <c r="D365" s="3">
        <v>2.8477617E-2</v>
      </c>
      <c r="E365">
        <v>9.2513023999999999E-2</v>
      </c>
      <c r="F365" s="1">
        <v>0.17231280199999999</v>
      </c>
      <c r="G365" s="1">
        <v>0.13882397099999999</v>
      </c>
      <c r="H365" s="2">
        <f t="shared" si="5"/>
        <v>0.40364979699999998</v>
      </c>
      <c r="I365" s="6">
        <v>5.9146174000000003E-2</v>
      </c>
      <c r="J365" s="6">
        <v>6.3674069999999999E-2</v>
      </c>
      <c r="K365" s="6">
        <v>2.7824864000000001E-2</v>
      </c>
      <c r="L365" s="6">
        <v>1.7660038999999999E-2</v>
      </c>
      <c r="M365" s="6">
        <v>1.3166505E-2</v>
      </c>
    </row>
    <row r="366" spans="1:13" x14ac:dyDescent="0.25">
      <c r="A366" t="s">
        <v>175</v>
      </c>
      <c r="B366" s="3">
        <v>0</v>
      </c>
      <c r="C366" s="1">
        <v>4.9733648999999998E-2</v>
      </c>
      <c r="D366" s="3">
        <v>4.3870422999999999E-2</v>
      </c>
      <c r="E366">
        <v>7.4802832E-2</v>
      </c>
      <c r="F366" s="1">
        <v>0.17112788500000001</v>
      </c>
      <c r="G366" s="1">
        <v>7.3584969E-2</v>
      </c>
      <c r="H366" s="2">
        <f t="shared" si="5"/>
        <v>0.31951568600000002</v>
      </c>
      <c r="I366" s="6">
        <v>2.5025238000000002E-2</v>
      </c>
      <c r="J366" s="6">
        <v>4.4310950000000002E-2</v>
      </c>
      <c r="K366" s="6">
        <v>1.7646439E-2</v>
      </c>
      <c r="L366" s="6">
        <v>3.7239830000000002E-2</v>
      </c>
      <c r="M366" s="6">
        <v>5.048762E-3</v>
      </c>
    </row>
    <row r="367" spans="1:13" x14ac:dyDescent="0.25">
      <c r="A367" t="s">
        <v>176</v>
      </c>
      <c r="B367" s="3">
        <v>0</v>
      </c>
      <c r="C367" s="1">
        <v>7.5692157999999995E-2</v>
      </c>
      <c r="D367" s="3">
        <v>3.5255130000000003E-2</v>
      </c>
      <c r="E367">
        <v>5.6276311000000002E-2</v>
      </c>
      <c r="F367" s="1">
        <v>0.17817593600000001</v>
      </c>
      <c r="G367" s="1">
        <v>8.7841724999999996E-2</v>
      </c>
      <c r="H367" s="2">
        <f t="shared" si="5"/>
        <v>0.32229397199999998</v>
      </c>
      <c r="I367" s="6">
        <v>2.6271389999999999E-2</v>
      </c>
      <c r="J367" s="6">
        <v>8.4606317E-2</v>
      </c>
      <c r="K367" s="6">
        <v>3.9926561999999999E-2</v>
      </c>
      <c r="L367" s="6">
        <v>1.7224840000000002E-2</v>
      </c>
      <c r="M367" s="6">
        <v>2.7380318000000001E-2</v>
      </c>
    </row>
    <row r="368" spans="1:13" x14ac:dyDescent="0.25">
      <c r="A368" t="s">
        <v>177</v>
      </c>
      <c r="B368" s="3">
        <v>0</v>
      </c>
      <c r="C368" s="1">
        <v>5.6238558000000001E-2</v>
      </c>
      <c r="D368" s="3">
        <v>3.0128894999999999E-2</v>
      </c>
      <c r="E368">
        <v>0.105413523</v>
      </c>
      <c r="F368" s="1">
        <v>0.157034641</v>
      </c>
      <c r="G368" s="1">
        <v>5.9267114000000003E-2</v>
      </c>
      <c r="H368" s="2">
        <f t="shared" si="5"/>
        <v>0.32171527799999999</v>
      </c>
      <c r="I368" s="6">
        <v>5.5943078E-2</v>
      </c>
      <c r="J368" s="6">
        <v>8.9565888999999996E-2</v>
      </c>
      <c r="K368" s="6">
        <v>2.5990505000000001E-2</v>
      </c>
      <c r="L368" s="6">
        <v>2.5088124E-2</v>
      </c>
      <c r="M368" s="6">
        <v>2.0828902E-2</v>
      </c>
    </row>
    <row r="369" spans="1:13" x14ac:dyDescent="0.25">
      <c r="A369" t="s">
        <v>178</v>
      </c>
      <c r="B369" s="3">
        <v>0</v>
      </c>
      <c r="C369" s="1">
        <v>3.8645605E-2</v>
      </c>
      <c r="D369" s="3">
        <v>6.6224025000000006E-2</v>
      </c>
      <c r="E369">
        <v>8.7362524999999996E-2</v>
      </c>
      <c r="F369" s="1">
        <v>0.18431561199999999</v>
      </c>
      <c r="G369" s="1">
        <v>9.3536672000000001E-2</v>
      </c>
      <c r="H369" s="2">
        <f t="shared" si="5"/>
        <v>0.36521480899999997</v>
      </c>
      <c r="I369" s="6">
        <v>3.3536845000000003E-2</v>
      </c>
      <c r="J369" s="6">
        <v>6.2127609E-2</v>
      </c>
      <c r="K369" s="6">
        <v>2.9662688E-2</v>
      </c>
      <c r="L369" s="6">
        <v>3.4995603E-2</v>
      </c>
      <c r="M369" s="6">
        <v>6.6695050000000001E-3</v>
      </c>
    </row>
    <row r="370" spans="1:13" x14ac:dyDescent="0.25">
      <c r="A370" t="s">
        <v>179</v>
      </c>
      <c r="B370" s="3">
        <v>0</v>
      </c>
      <c r="C370" s="1">
        <v>0.106079733</v>
      </c>
      <c r="D370" s="3">
        <v>4.5982710000000003E-2</v>
      </c>
      <c r="E370">
        <v>3.9103415000000002E-2</v>
      </c>
      <c r="F370" s="1">
        <v>0.18069612299999999</v>
      </c>
      <c r="G370" s="1">
        <v>7.1683815999999997E-2</v>
      </c>
      <c r="H370" s="2">
        <f t="shared" si="5"/>
        <v>0.29148335399999997</v>
      </c>
      <c r="I370" s="6">
        <v>3.4355889000000001E-2</v>
      </c>
      <c r="J370" s="6">
        <v>8.6298483999999995E-2</v>
      </c>
      <c r="K370" s="6">
        <v>3.3662393999999998E-2</v>
      </c>
      <c r="L370" s="6">
        <v>1.9126205E-2</v>
      </c>
      <c r="M370" s="6">
        <v>1.9361660999999999E-2</v>
      </c>
    </row>
    <row r="371" spans="1:13" x14ac:dyDescent="0.25">
      <c r="A371" t="s">
        <v>414</v>
      </c>
      <c r="B371" s="3">
        <v>0</v>
      </c>
      <c r="C371" s="1">
        <v>8.8518865000000002E-2</v>
      </c>
      <c r="D371" s="3">
        <v>8.2554516999999994E-2</v>
      </c>
      <c r="E371">
        <v>8.0733251000000006E-2</v>
      </c>
      <c r="F371" s="1">
        <v>0.156295028</v>
      </c>
      <c r="G371" s="1">
        <v>8.8684640999999995E-2</v>
      </c>
      <c r="H371" s="2">
        <f t="shared" si="5"/>
        <v>0.32571292000000002</v>
      </c>
      <c r="I371" s="6">
        <v>4.1410545999999999E-2</v>
      </c>
      <c r="J371" s="6">
        <v>6.9729508999999995E-2</v>
      </c>
      <c r="K371" s="6">
        <v>5.0633279000000003E-2</v>
      </c>
      <c r="L371" s="6">
        <v>1.2089735000000001E-2</v>
      </c>
      <c r="M371" s="6">
        <v>0</v>
      </c>
    </row>
    <row r="372" spans="1:13" x14ac:dyDescent="0.25">
      <c r="A372" t="s">
        <v>415</v>
      </c>
      <c r="B372" s="3">
        <v>1.1556772999999999E-2</v>
      </c>
      <c r="C372" s="1">
        <v>4.0543034999999998E-2</v>
      </c>
      <c r="D372" s="3">
        <v>8.3862644E-2</v>
      </c>
      <c r="E372">
        <v>3.2611835999999998E-2</v>
      </c>
      <c r="F372" s="1">
        <v>0.16805750799999999</v>
      </c>
      <c r="G372" s="1">
        <v>0.114279698</v>
      </c>
      <c r="H372" s="2">
        <f t="shared" si="5"/>
        <v>0.31494904200000001</v>
      </c>
      <c r="I372" s="6">
        <v>2.3765234999999999E-2</v>
      </c>
      <c r="J372" s="6">
        <v>9.2935245E-2</v>
      </c>
      <c r="K372" s="6">
        <v>2.2591696000000001E-2</v>
      </c>
      <c r="L372" s="6">
        <v>1.9638329E-2</v>
      </c>
      <c r="M372" s="6">
        <v>1.0781153E-2</v>
      </c>
    </row>
    <row r="373" spans="1:13" x14ac:dyDescent="0.25">
      <c r="A373" t="s">
        <v>180</v>
      </c>
      <c r="B373" s="3">
        <v>9.106655E-3</v>
      </c>
      <c r="C373" s="1">
        <v>3.8281135000000001E-2</v>
      </c>
      <c r="D373" s="3">
        <v>5.7320273999999997E-2</v>
      </c>
      <c r="E373">
        <v>8.3598154999999993E-2</v>
      </c>
      <c r="F373" s="1">
        <v>0.14697023400000001</v>
      </c>
      <c r="G373" s="1">
        <v>9.3209816000000001E-2</v>
      </c>
      <c r="H373" s="2">
        <f t="shared" si="5"/>
        <v>0.32377820499999999</v>
      </c>
      <c r="I373" s="6">
        <v>4.1756539000000002E-2</v>
      </c>
      <c r="J373" s="6">
        <v>8.8189612000000001E-2</v>
      </c>
      <c r="K373" s="6">
        <v>1.5756288E-2</v>
      </c>
      <c r="L373" s="6">
        <v>2.3217040000000001E-2</v>
      </c>
      <c r="M373" s="6">
        <v>1.1109149E-2</v>
      </c>
    </row>
    <row r="374" spans="1:13" x14ac:dyDescent="0.25">
      <c r="A374" t="s">
        <v>181</v>
      </c>
      <c r="B374" s="3">
        <v>0</v>
      </c>
      <c r="C374" s="1">
        <v>7.0847339999999995E-2</v>
      </c>
      <c r="D374" s="3">
        <v>5.3948443999999998E-2</v>
      </c>
      <c r="E374">
        <v>5.8389506000000001E-2</v>
      </c>
      <c r="F374" s="1">
        <v>0.14314895499999999</v>
      </c>
      <c r="G374" s="1">
        <v>8.9619306999999995E-2</v>
      </c>
      <c r="H374" s="2">
        <f t="shared" si="5"/>
        <v>0.29115776799999998</v>
      </c>
      <c r="I374" s="6">
        <v>4.6373403000000001E-2</v>
      </c>
      <c r="J374" s="6">
        <v>7.5347711999999997E-2</v>
      </c>
      <c r="K374" s="6">
        <v>4.8691610000000003E-2</v>
      </c>
      <c r="L374" s="6">
        <v>1.4631750000000001E-2</v>
      </c>
      <c r="M374" s="6">
        <v>3.9026986999999999E-2</v>
      </c>
    </row>
    <row r="375" spans="1:13" x14ac:dyDescent="0.25">
      <c r="A375" t="s">
        <v>182</v>
      </c>
      <c r="B375" s="3">
        <v>0</v>
      </c>
      <c r="C375" s="1">
        <v>8.4217761000000002E-2</v>
      </c>
      <c r="D375" s="3">
        <v>2.4858561000000001E-2</v>
      </c>
      <c r="E375">
        <v>3.493392E-2</v>
      </c>
      <c r="F375" s="1">
        <v>0.191383317</v>
      </c>
      <c r="G375" s="1">
        <v>8.8872384999999998E-2</v>
      </c>
      <c r="H375" s="2">
        <f t="shared" si="5"/>
        <v>0.315189622</v>
      </c>
      <c r="I375" s="6">
        <v>4.5159214000000003E-2</v>
      </c>
      <c r="J375" s="6">
        <v>8.6993070000000006E-2</v>
      </c>
      <c r="K375" s="6">
        <v>3.9261356999999997E-2</v>
      </c>
      <c r="L375" s="6">
        <v>3.3410899000000001E-2</v>
      </c>
      <c r="M375" s="6">
        <v>1.0210491E-2</v>
      </c>
    </row>
    <row r="376" spans="1:13" x14ac:dyDescent="0.25">
      <c r="A376" t="s">
        <v>183</v>
      </c>
      <c r="B376" s="3">
        <v>0</v>
      </c>
      <c r="C376" s="1">
        <v>8.0188881000000004E-2</v>
      </c>
      <c r="D376" s="3">
        <v>8.3647983999999995E-2</v>
      </c>
      <c r="E376">
        <v>7.4062851999999998E-2</v>
      </c>
      <c r="F376" s="1">
        <v>0.16529321299999999</v>
      </c>
      <c r="G376" s="1">
        <v>0.12021353999999999</v>
      </c>
      <c r="H376" s="2">
        <f t="shared" si="5"/>
        <v>0.35956960500000001</v>
      </c>
      <c r="I376" s="6">
        <v>2.9166503999999999E-2</v>
      </c>
      <c r="J376" s="6">
        <v>7.5117505000000001E-2</v>
      </c>
      <c r="K376" s="6">
        <v>1.1833417000000001E-2</v>
      </c>
      <c r="L376" s="6">
        <v>1.3198962E-2</v>
      </c>
      <c r="M376" s="6">
        <v>1.2216134E-2</v>
      </c>
    </row>
    <row r="377" spans="1:13" x14ac:dyDescent="0.25">
      <c r="A377" t="s">
        <v>416</v>
      </c>
      <c r="B377" s="3">
        <v>0</v>
      </c>
      <c r="C377" s="1">
        <v>4.4491783E-2</v>
      </c>
      <c r="D377" s="3">
        <v>5.9334738999999997E-2</v>
      </c>
      <c r="E377">
        <v>8.0489507000000002E-2</v>
      </c>
      <c r="F377" s="1">
        <v>0.152432015</v>
      </c>
      <c r="G377" s="1">
        <v>9.6397430000000006E-2</v>
      </c>
      <c r="H377" s="2">
        <f t="shared" si="5"/>
        <v>0.329318952</v>
      </c>
      <c r="I377" s="6">
        <v>3.5375529000000003E-2</v>
      </c>
      <c r="J377" s="6">
        <v>6.4723470000000005E-2</v>
      </c>
      <c r="K377" s="6">
        <v>2.9348927E-2</v>
      </c>
      <c r="L377" s="6">
        <v>2.7181206999999999E-2</v>
      </c>
      <c r="M377" s="6">
        <v>1.7501846000000001E-2</v>
      </c>
    </row>
    <row r="378" spans="1:13" x14ac:dyDescent="0.25">
      <c r="A378" t="s">
        <v>417</v>
      </c>
      <c r="B378" s="3">
        <v>9.1608900000000003E-4</v>
      </c>
      <c r="C378" s="1">
        <v>5.9522145999999998E-2</v>
      </c>
      <c r="D378" s="3">
        <v>8.8524544999999996E-2</v>
      </c>
      <c r="E378">
        <v>3.3237830000000003E-2</v>
      </c>
      <c r="F378" s="1">
        <v>0.18070351900000001</v>
      </c>
      <c r="G378" s="1">
        <v>9.1375198000000005E-2</v>
      </c>
      <c r="H378" s="2">
        <f t="shared" si="5"/>
        <v>0.30531654699999999</v>
      </c>
      <c r="I378" s="6">
        <v>2.9280361000000001E-2</v>
      </c>
      <c r="J378" s="6">
        <v>0.10430099299999999</v>
      </c>
      <c r="K378" s="6">
        <v>2.7211609000000001E-2</v>
      </c>
      <c r="L378" s="6">
        <v>2.3188663000000002E-2</v>
      </c>
      <c r="M378" s="6">
        <v>4.9765729999999998E-3</v>
      </c>
    </row>
    <row r="379" spans="1:13" x14ac:dyDescent="0.25">
      <c r="A379" t="s">
        <v>184</v>
      </c>
      <c r="B379" s="3">
        <v>0</v>
      </c>
      <c r="C379" s="1">
        <v>8.0113158000000004E-2</v>
      </c>
      <c r="D379" s="3">
        <v>1.0769647E-2</v>
      </c>
      <c r="E379">
        <v>6.3039029999999996E-2</v>
      </c>
      <c r="F379" s="1">
        <v>0.216796082</v>
      </c>
      <c r="G379" s="1">
        <v>0.101213305</v>
      </c>
      <c r="H379" s="2">
        <f t="shared" si="5"/>
        <v>0.38104841700000003</v>
      </c>
      <c r="I379" s="6">
        <v>3.8995149999999999E-2</v>
      </c>
      <c r="J379" s="6">
        <v>7.5371314999999994E-2</v>
      </c>
      <c r="K379" s="6">
        <v>3.7858323999999999E-2</v>
      </c>
      <c r="L379" s="6">
        <v>1.7875332000000001E-2</v>
      </c>
      <c r="M379" s="6">
        <v>1.7529527E-2</v>
      </c>
    </row>
    <row r="380" spans="1:13" x14ac:dyDescent="0.25">
      <c r="A380" t="s">
        <v>185</v>
      </c>
      <c r="B380" s="3">
        <v>0</v>
      </c>
      <c r="C380" s="1">
        <v>4.1506372E-2</v>
      </c>
      <c r="D380" s="3">
        <v>8.6394447999999999E-2</v>
      </c>
      <c r="E380">
        <v>6.3548733999999996E-2</v>
      </c>
      <c r="F380" s="1">
        <v>0.189142229</v>
      </c>
      <c r="G380" s="1">
        <v>8.2920149999999998E-2</v>
      </c>
      <c r="H380" s="2">
        <f t="shared" si="5"/>
        <v>0.33561111300000002</v>
      </c>
      <c r="I380" s="6">
        <v>3.8374859999999997E-2</v>
      </c>
      <c r="J380" s="6">
        <v>6.3345181E-2</v>
      </c>
      <c r="K380" s="6">
        <v>8.0499379999999995E-3</v>
      </c>
      <c r="L380" s="6">
        <v>2.6540604999999998E-2</v>
      </c>
      <c r="M380" s="6">
        <v>7.5922539999999997E-3</v>
      </c>
    </row>
    <row r="381" spans="1:13" x14ac:dyDescent="0.25">
      <c r="A381" t="s">
        <v>186</v>
      </c>
      <c r="B381" s="3">
        <v>1.188164E-3</v>
      </c>
      <c r="C381" s="1">
        <v>5.5372714000000003E-2</v>
      </c>
      <c r="D381" s="3">
        <v>1.4066431000000001E-2</v>
      </c>
      <c r="E381">
        <v>7.0676299999999997E-2</v>
      </c>
      <c r="F381" s="1">
        <v>0.19374313600000001</v>
      </c>
      <c r="G381" s="1">
        <v>0.103511277</v>
      </c>
      <c r="H381" s="2">
        <f t="shared" si="5"/>
        <v>0.36793071300000002</v>
      </c>
      <c r="I381" s="6">
        <v>4.2108225999999999E-2</v>
      </c>
      <c r="J381" s="6">
        <v>9.2330771000000006E-2</v>
      </c>
      <c r="K381" s="6">
        <v>2.8031426000000002E-2</v>
      </c>
      <c r="L381" s="6">
        <v>0</v>
      </c>
      <c r="M381" s="6">
        <v>1.8800127999999999E-2</v>
      </c>
    </row>
    <row r="382" spans="1:13" x14ac:dyDescent="0.25">
      <c r="A382" t="s">
        <v>418</v>
      </c>
      <c r="B382" s="3">
        <v>0</v>
      </c>
      <c r="C382" s="1">
        <v>3.9520083999999997E-2</v>
      </c>
      <c r="D382" s="3">
        <v>7.7194386000000004E-2</v>
      </c>
      <c r="E382">
        <v>7.7324171999999997E-2</v>
      </c>
      <c r="F382" s="1">
        <v>0.155399606</v>
      </c>
      <c r="G382" s="1">
        <v>0.10061711800000001</v>
      </c>
      <c r="H382" s="2">
        <f t="shared" si="5"/>
        <v>0.333340896</v>
      </c>
      <c r="I382" s="6">
        <v>3.2816298000000001E-2</v>
      </c>
      <c r="J382" s="6">
        <v>9.1836334000000006E-2</v>
      </c>
      <c r="K382" s="6">
        <v>1.5726337999999999E-2</v>
      </c>
      <c r="L382" s="6">
        <v>1.1211013000000001E-2</v>
      </c>
      <c r="M382" s="6">
        <v>1.6089836999999999E-2</v>
      </c>
    </row>
    <row r="383" spans="1:13" x14ac:dyDescent="0.25">
      <c r="A383" t="s">
        <v>187</v>
      </c>
      <c r="B383" s="3">
        <v>1.5067488E-2</v>
      </c>
      <c r="C383" s="1">
        <v>6.0667661999999997E-2</v>
      </c>
      <c r="D383" s="3">
        <v>0.100382711</v>
      </c>
      <c r="E383">
        <v>5.7656306999999997E-2</v>
      </c>
      <c r="F383" s="1">
        <v>0.16472611300000001</v>
      </c>
      <c r="G383" s="1">
        <v>7.8384401000000006E-2</v>
      </c>
      <c r="H383" s="2">
        <f t="shared" si="5"/>
        <v>0.30076682100000002</v>
      </c>
      <c r="I383" s="6">
        <v>5.0474837000000002E-2</v>
      </c>
      <c r="J383" s="6">
        <v>8.8095223E-2</v>
      </c>
      <c r="K383" s="6">
        <v>3.4492070999999999E-2</v>
      </c>
      <c r="L383" s="6">
        <v>2.4986202999999998E-2</v>
      </c>
      <c r="M383" s="6">
        <v>0</v>
      </c>
    </row>
    <row r="384" spans="1:13" x14ac:dyDescent="0.25">
      <c r="A384" t="s">
        <v>188</v>
      </c>
      <c r="B384" s="3">
        <v>1.903891E-3</v>
      </c>
      <c r="C384" s="1">
        <v>4.4099632999999999E-2</v>
      </c>
      <c r="D384" s="3">
        <v>5.6220147999999998E-2</v>
      </c>
      <c r="E384">
        <v>5.0929836999999999E-2</v>
      </c>
      <c r="F384" s="1">
        <v>0.16628177999999999</v>
      </c>
      <c r="G384" s="1">
        <v>0.103664205</v>
      </c>
      <c r="H384" s="2">
        <f t="shared" si="5"/>
        <v>0.32087582199999998</v>
      </c>
      <c r="I384" s="6">
        <v>3.4977781999999999E-2</v>
      </c>
      <c r="J384" s="6">
        <v>9.4503966999999994E-2</v>
      </c>
      <c r="K384" s="6">
        <v>2.8032746000000001E-2</v>
      </c>
      <c r="L384" s="6">
        <v>5.4597090000000001E-3</v>
      </c>
      <c r="M384" s="6">
        <v>1.9067537999999998E-2</v>
      </c>
    </row>
    <row r="385" spans="1:13" x14ac:dyDescent="0.25">
      <c r="A385" t="s">
        <v>189</v>
      </c>
      <c r="B385" s="3">
        <v>0</v>
      </c>
      <c r="C385" s="1">
        <v>8.1778595999999995E-2</v>
      </c>
      <c r="D385" s="3">
        <v>4.0711018000000002E-2</v>
      </c>
      <c r="E385">
        <v>5.8075715999999999E-2</v>
      </c>
      <c r="F385" s="1">
        <v>0.19874839699999999</v>
      </c>
      <c r="G385" s="1">
        <v>9.0355783999999995E-2</v>
      </c>
      <c r="H385" s="2">
        <f t="shared" si="5"/>
        <v>0.34717989699999996</v>
      </c>
      <c r="I385" s="6">
        <v>4.3459523999999999E-2</v>
      </c>
      <c r="J385" s="6">
        <v>9.3317470999999999E-2</v>
      </c>
      <c r="K385" s="6">
        <v>1.5034384E-2</v>
      </c>
      <c r="L385" s="6">
        <v>1.5308909000000001E-2</v>
      </c>
      <c r="M385" s="6">
        <v>8.8754579999999993E-3</v>
      </c>
    </row>
    <row r="386" spans="1:13" x14ac:dyDescent="0.25">
      <c r="A386" t="s">
        <v>190</v>
      </c>
      <c r="B386" s="3">
        <v>6.224177E-3</v>
      </c>
      <c r="C386" s="1">
        <v>8.1234555999999999E-2</v>
      </c>
      <c r="D386" s="3">
        <v>8.2147990000000004E-2</v>
      </c>
      <c r="E386">
        <v>8.2019256999999998E-2</v>
      </c>
      <c r="F386" s="1">
        <v>0.16100294600000001</v>
      </c>
      <c r="G386" s="1">
        <v>9.3124087999999994E-2</v>
      </c>
      <c r="H386" s="2">
        <f t="shared" si="5"/>
        <v>0.33614629099999999</v>
      </c>
      <c r="I386" s="6">
        <v>4.4827789999999999E-2</v>
      </c>
      <c r="J386" s="6">
        <v>9.3978865999999994E-2</v>
      </c>
      <c r="K386" s="6">
        <v>2.5904946000000002E-2</v>
      </c>
      <c r="L386" s="6">
        <v>1.6961961000000001E-2</v>
      </c>
      <c r="M386" s="6">
        <v>1.9329188000000001E-2</v>
      </c>
    </row>
    <row r="387" spans="1:13" x14ac:dyDescent="0.25">
      <c r="A387" t="s">
        <v>419</v>
      </c>
      <c r="B387" s="3">
        <v>0</v>
      </c>
      <c r="C387" s="1">
        <v>5.9388496999999998E-2</v>
      </c>
      <c r="D387" s="3">
        <v>5.0561236000000002E-2</v>
      </c>
      <c r="E387">
        <v>6.6669772000000002E-2</v>
      </c>
      <c r="F387" s="1">
        <v>0.17903703100000001</v>
      </c>
      <c r="G387" s="1">
        <v>8.3838839999999998E-2</v>
      </c>
      <c r="H387" s="2">
        <f t="shared" ref="H387:H424" si="6">SUM(E387:G387)</f>
        <v>0.329545643</v>
      </c>
      <c r="I387" s="6">
        <v>3.4296616000000002E-2</v>
      </c>
      <c r="J387" s="6">
        <v>8.7006239999999999E-2</v>
      </c>
      <c r="K387" s="6">
        <v>2.3986308000000001E-2</v>
      </c>
      <c r="L387" s="6">
        <v>1.3812916E-2</v>
      </c>
      <c r="M387" s="6">
        <v>2.4556972E-2</v>
      </c>
    </row>
    <row r="388" spans="1:13" x14ac:dyDescent="0.25">
      <c r="A388" t="s">
        <v>420</v>
      </c>
      <c r="B388" s="3">
        <v>0</v>
      </c>
      <c r="C388" s="1">
        <v>4.9743061999999998E-2</v>
      </c>
      <c r="D388" s="3">
        <v>5.9416135000000002E-2</v>
      </c>
      <c r="E388">
        <v>0.100721438</v>
      </c>
      <c r="F388" s="1">
        <v>0.17846627900000001</v>
      </c>
      <c r="G388" s="1">
        <v>7.1868291000000001E-2</v>
      </c>
      <c r="H388" s="2">
        <f t="shared" si="6"/>
        <v>0.35105600800000003</v>
      </c>
      <c r="I388" s="6">
        <v>2.0053722E-2</v>
      </c>
      <c r="J388" s="6">
        <v>5.5075544999999997E-2</v>
      </c>
      <c r="K388" s="6">
        <v>3.0528789000000001E-2</v>
      </c>
      <c r="L388" s="6">
        <v>1.7579779E-2</v>
      </c>
      <c r="M388" s="6">
        <v>1.4068990999999999E-2</v>
      </c>
    </row>
    <row r="389" spans="1:13" x14ac:dyDescent="0.25">
      <c r="A389" t="s">
        <v>191</v>
      </c>
      <c r="B389" s="3">
        <v>0</v>
      </c>
      <c r="C389" s="1">
        <v>6.2323383000000003E-2</v>
      </c>
      <c r="D389" s="3">
        <v>2.5545908999999999E-2</v>
      </c>
      <c r="E389">
        <v>8.2074072999999997E-2</v>
      </c>
      <c r="F389" s="1">
        <v>0.169125782</v>
      </c>
      <c r="G389" s="1">
        <v>9.6289651000000004E-2</v>
      </c>
      <c r="H389" s="2">
        <f t="shared" si="6"/>
        <v>0.34748950599999995</v>
      </c>
      <c r="I389" s="6">
        <v>3.7360714000000003E-2</v>
      </c>
      <c r="J389" s="6">
        <v>9.0878976E-2</v>
      </c>
      <c r="K389" s="6">
        <v>4.8918360000000001E-3</v>
      </c>
      <c r="L389" s="6">
        <v>2.5171604E-2</v>
      </c>
      <c r="M389" s="6">
        <v>8.4774459999999996E-3</v>
      </c>
    </row>
    <row r="390" spans="1:13" x14ac:dyDescent="0.25">
      <c r="A390" t="s">
        <v>192</v>
      </c>
      <c r="B390" s="3">
        <v>0</v>
      </c>
      <c r="C390" s="1">
        <v>4.3114337000000003E-2</v>
      </c>
      <c r="D390" s="3">
        <v>2.8380341E-2</v>
      </c>
      <c r="E390">
        <v>8.4105457999999994E-2</v>
      </c>
      <c r="F390" s="1">
        <v>0.16504144300000001</v>
      </c>
      <c r="G390" s="1">
        <v>0.101608939</v>
      </c>
      <c r="H390" s="2">
        <f t="shared" si="6"/>
        <v>0.35075583999999999</v>
      </c>
      <c r="I390" s="6">
        <v>3.1565441999999999E-2</v>
      </c>
      <c r="J390" s="6">
        <v>0.12947051300000001</v>
      </c>
      <c r="K390" s="6">
        <v>1.2287930000000001E-2</v>
      </c>
      <c r="L390" s="6">
        <v>2.7262813E-2</v>
      </c>
      <c r="M390" s="6">
        <v>5.8983450000000002E-3</v>
      </c>
    </row>
    <row r="391" spans="1:13" x14ac:dyDescent="0.25">
      <c r="A391" t="s">
        <v>193</v>
      </c>
      <c r="B391" s="3">
        <v>1.146151E-3</v>
      </c>
      <c r="C391" s="1">
        <v>4.4910064E-2</v>
      </c>
      <c r="D391" s="3">
        <v>5.6315898000000003E-2</v>
      </c>
      <c r="E391">
        <v>7.8759156999999996E-2</v>
      </c>
      <c r="F391" s="1">
        <v>0.18820811000000001</v>
      </c>
      <c r="G391" s="1">
        <v>7.7625128000000002E-2</v>
      </c>
      <c r="H391" s="2">
        <f t="shared" si="6"/>
        <v>0.344592395</v>
      </c>
      <c r="I391" s="6">
        <v>3.8363220000000003E-2</v>
      </c>
      <c r="J391" s="6">
        <v>7.0707493999999996E-2</v>
      </c>
      <c r="K391" s="6">
        <v>2.3090445000000001E-2</v>
      </c>
      <c r="L391" s="6">
        <v>2.5450150000000001E-2</v>
      </c>
      <c r="M391" s="6">
        <v>1.4470594999999999E-2</v>
      </c>
    </row>
    <row r="392" spans="1:13" x14ac:dyDescent="0.25">
      <c r="A392" t="s">
        <v>194</v>
      </c>
      <c r="B392" s="3">
        <v>4.5601110000000004E-3</v>
      </c>
      <c r="C392" s="1">
        <v>4.2788892000000002E-2</v>
      </c>
      <c r="D392" s="3">
        <v>5.7304859999999999E-2</v>
      </c>
      <c r="E392">
        <v>5.2335624999999997E-2</v>
      </c>
      <c r="F392" s="1">
        <v>0.160260078</v>
      </c>
      <c r="G392" s="1">
        <v>9.8184788999999995E-2</v>
      </c>
      <c r="H392" s="2">
        <f t="shared" si="6"/>
        <v>0.31078049200000002</v>
      </c>
      <c r="I392" s="6">
        <v>4.3003088000000002E-2</v>
      </c>
      <c r="J392" s="6">
        <v>8.1105960000000005E-2</v>
      </c>
      <c r="K392" s="6">
        <v>2.7925873E-2</v>
      </c>
      <c r="L392" s="6">
        <v>1.5758989000000001E-2</v>
      </c>
      <c r="M392" s="6">
        <v>2.1460706999999999E-2</v>
      </c>
    </row>
    <row r="393" spans="1:13" x14ac:dyDescent="0.25">
      <c r="A393" t="s">
        <v>421</v>
      </c>
      <c r="B393" s="3">
        <v>6.0259349999999996E-3</v>
      </c>
      <c r="C393" s="1">
        <v>4.9491571999999998E-2</v>
      </c>
      <c r="D393" s="3">
        <v>7.2661633000000003E-2</v>
      </c>
      <c r="E393">
        <v>8.0044072999999993E-2</v>
      </c>
      <c r="F393" s="1">
        <v>0.151877766</v>
      </c>
      <c r="G393" s="1">
        <v>0.10026423600000001</v>
      </c>
      <c r="H393" s="2">
        <f t="shared" si="6"/>
        <v>0.33218607499999997</v>
      </c>
      <c r="I393" s="6">
        <v>4.4949913000000001E-2</v>
      </c>
      <c r="J393" s="6">
        <v>8.2716095000000003E-2</v>
      </c>
      <c r="K393" s="6">
        <v>3.9383124999999998E-2</v>
      </c>
      <c r="L393" s="6">
        <v>2.6063388E-2</v>
      </c>
      <c r="M393" s="6">
        <v>2.1823559999999999E-3</v>
      </c>
    </row>
    <row r="394" spans="1:13" x14ac:dyDescent="0.25">
      <c r="A394" t="s">
        <v>195</v>
      </c>
      <c r="B394" s="3">
        <v>0</v>
      </c>
      <c r="C394" s="1">
        <v>4.4346483999999999E-2</v>
      </c>
      <c r="D394" s="3">
        <v>6.4750255000000007E-2</v>
      </c>
      <c r="E394">
        <v>4.3974805999999998E-2</v>
      </c>
      <c r="F394" s="1">
        <v>0.14669184800000001</v>
      </c>
      <c r="G394" s="1">
        <v>0.10957781599999999</v>
      </c>
      <c r="H394" s="2">
        <f t="shared" si="6"/>
        <v>0.30024446999999999</v>
      </c>
      <c r="I394" s="6">
        <v>5.2626159999999998E-2</v>
      </c>
      <c r="J394" s="6">
        <v>7.3876447999999997E-2</v>
      </c>
      <c r="K394" s="6">
        <v>2.7528817000000001E-2</v>
      </c>
      <c r="L394" s="6">
        <v>3.0823011000000001E-2</v>
      </c>
      <c r="M394" s="6">
        <v>2.6464189999999999E-2</v>
      </c>
    </row>
    <row r="395" spans="1:13" x14ac:dyDescent="0.25">
      <c r="A395" t="s">
        <v>196</v>
      </c>
      <c r="B395" s="3">
        <v>1.856365E-3</v>
      </c>
      <c r="C395" s="1">
        <v>5.2620038000000001E-2</v>
      </c>
      <c r="D395" s="3">
        <v>3.1284263E-2</v>
      </c>
      <c r="E395">
        <v>6.5274215999999996E-2</v>
      </c>
      <c r="F395" s="1">
        <v>0.18983081900000001</v>
      </c>
      <c r="G395" s="1">
        <v>0.10453161699999999</v>
      </c>
      <c r="H395" s="2">
        <f t="shared" si="6"/>
        <v>0.35963665200000006</v>
      </c>
      <c r="I395" s="6">
        <v>4.0856099999999999E-2</v>
      </c>
      <c r="J395" s="6">
        <v>9.0664808999999999E-2</v>
      </c>
      <c r="K395" s="6">
        <v>2.9060534999999998E-2</v>
      </c>
      <c r="L395" s="6">
        <v>1.6622443000000001E-2</v>
      </c>
      <c r="M395" s="6">
        <v>9.3984930000000008E-3</v>
      </c>
    </row>
    <row r="396" spans="1:13" x14ac:dyDescent="0.25">
      <c r="A396" t="s">
        <v>197</v>
      </c>
      <c r="B396" s="3">
        <v>8.4053180000000002E-3</v>
      </c>
      <c r="C396" s="1">
        <v>3.5427470000000003E-2</v>
      </c>
      <c r="D396" s="3">
        <v>4.4062189000000002E-2</v>
      </c>
      <c r="E396">
        <v>0.101932116</v>
      </c>
      <c r="F396" s="1">
        <v>0.164027595</v>
      </c>
      <c r="G396" s="1">
        <v>8.8927913999999997E-2</v>
      </c>
      <c r="H396" s="2">
        <f t="shared" si="6"/>
        <v>0.35488762499999998</v>
      </c>
      <c r="I396" s="6">
        <v>3.3453594000000003E-2</v>
      </c>
      <c r="J396" s="6">
        <v>2.4455648999999999E-2</v>
      </c>
      <c r="K396" s="6">
        <v>2.6882066999999999E-2</v>
      </c>
      <c r="L396" s="6">
        <v>3.2514177999999998E-2</v>
      </c>
      <c r="M396" s="6">
        <v>1.2E-5</v>
      </c>
    </row>
    <row r="397" spans="1:13" x14ac:dyDescent="0.25">
      <c r="A397" t="s">
        <v>422</v>
      </c>
      <c r="B397" s="3">
        <v>3.698509E-3</v>
      </c>
      <c r="C397" s="1">
        <v>3.2812848999999998E-2</v>
      </c>
      <c r="D397" s="3">
        <v>6.4082188999999998E-2</v>
      </c>
      <c r="E397">
        <v>0.108248291</v>
      </c>
      <c r="F397" s="1">
        <v>0.15136581700000001</v>
      </c>
      <c r="G397" s="1">
        <v>0.100202181</v>
      </c>
      <c r="H397" s="2">
        <f t="shared" si="6"/>
        <v>0.35981628900000001</v>
      </c>
      <c r="I397" s="6">
        <v>3.5336300000000001E-2</v>
      </c>
      <c r="J397" s="6">
        <v>6.0857139999999997E-2</v>
      </c>
      <c r="K397" s="6">
        <v>3.7565513000000002E-2</v>
      </c>
      <c r="L397" s="6">
        <v>1.2226068E-2</v>
      </c>
      <c r="M397" s="6">
        <v>7.7938859999999999E-3</v>
      </c>
    </row>
    <row r="398" spans="1:13" x14ac:dyDescent="0.25">
      <c r="A398" t="s">
        <v>198</v>
      </c>
      <c r="B398" s="3">
        <v>2.0469600000000001E-4</v>
      </c>
      <c r="C398" s="1">
        <v>3.0226764E-2</v>
      </c>
      <c r="D398" s="3">
        <v>5.4021909999999999E-2</v>
      </c>
      <c r="E398">
        <v>5.5341557999999999E-2</v>
      </c>
      <c r="F398" s="1">
        <v>0.16286621300000001</v>
      </c>
      <c r="G398" s="1">
        <v>0.10601012899999999</v>
      </c>
      <c r="H398" s="2">
        <f t="shared" si="6"/>
        <v>0.3242179</v>
      </c>
      <c r="I398" s="6">
        <v>3.2041220000000002E-2</v>
      </c>
      <c r="J398" s="6">
        <v>9.4435433999999999E-2</v>
      </c>
      <c r="K398" s="6">
        <v>2.2175051000000001E-2</v>
      </c>
      <c r="L398" s="6">
        <v>2.9528255E-2</v>
      </c>
      <c r="M398" s="6">
        <v>4.0529759999999998E-3</v>
      </c>
    </row>
    <row r="399" spans="1:13" x14ac:dyDescent="0.25">
      <c r="A399" t="s">
        <v>423</v>
      </c>
      <c r="B399" s="3">
        <v>3.5468864000000003E-2</v>
      </c>
      <c r="C399" s="1">
        <v>5.956906E-2</v>
      </c>
      <c r="D399" s="3">
        <v>3.6792195999999999E-2</v>
      </c>
      <c r="E399">
        <v>6.7258131999999998E-2</v>
      </c>
      <c r="F399" s="1">
        <v>0.18303042899999999</v>
      </c>
      <c r="G399" s="1">
        <v>0.10699622</v>
      </c>
      <c r="H399" s="2">
        <f t="shared" si="6"/>
        <v>0.35728478099999994</v>
      </c>
      <c r="I399" s="6">
        <v>3.4242274000000003E-2</v>
      </c>
      <c r="J399" s="6">
        <v>7.4514758E-2</v>
      </c>
      <c r="K399" s="6">
        <v>2.9048547000000001E-2</v>
      </c>
      <c r="L399" s="6">
        <v>3.2754512999999999E-2</v>
      </c>
      <c r="M399" s="6">
        <v>5.7062720000000001E-3</v>
      </c>
    </row>
    <row r="400" spans="1:13" x14ac:dyDescent="0.25">
      <c r="A400" t="s">
        <v>424</v>
      </c>
      <c r="B400" s="3">
        <v>2.0042336000000001E-2</v>
      </c>
      <c r="C400" s="1">
        <v>1.2562650999999999E-2</v>
      </c>
      <c r="D400" s="3">
        <v>0.10243852000000001</v>
      </c>
      <c r="E400">
        <v>8.0846480999999998E-2</v>
      </c>
      <c r="F400" s="1">
        <v>0.12831738400000001</v>
      </c>
      <c r="G400" s="1">
        <v>0.10183354</v>
      </c>
      <c r="H400" s="2">
        <f t="shared" si="6"/>
        <v>0.310997405</v>
      </c>
      <c r="I400" s="6">
        <v>3.2094158999999997E-2</v>
      </c>
      <c r="J400" s="6">
        <v>8.0151532999999997E-2</v>
      </c>
      <c r="K400" s="6">
        <v>1.9109310000000001E-2</v>
      </c>
      <c r="L400" s="6">
        <v>2.7181607E-2</v>
      </c>
      <c r="M400" s="6">
        <v>6.4328340000000001E-3</v>
      </c>
    </row>
    <row r="401" spans="1:13" x14ac:dyDescent="0.25">
      <c r="A401" t="s">
        <v>199</v>
      </c>
      <c r="B401" s="3">
        <v>8.9832969999999995E-3</v>
      </c>
      <c r="C401" s="1">
        <v>4.6134232999999997E-2</v>
      </c>
      <c r="D401" s="3">
        <v>6.7751634000000005E-2</v>
      </c>
      <c r="E401">
        <v>7.1711844999999996E-2</v>
      </c>
      <c r="F401" s="1">
        <v>0.123900859</v>
      </c>
      <c r="G401" s="1">
        <v>9.8682996999999995E-2</v>
      </c>
      <c r="H401" s="2">
        <f t="shared" si="6"/>
        <v>0.29429570100000002</v>
      </c>
      <c r="I401" s="6">
        <v>3.9032790999999997E-2</v>
      </c>
      <c r="J401" s="6">
        <v>7.2989512000000006E-2</v>
      </c>
      <c r="K401" s="6">
        <v>2.0854153E-2</v>
      </c>
      <c r="L401" s="6">
        <v>2.2010745000000002E-2</v>
      </c>
      <c r="M401" s="6">
        <v>1.2484373999999999E-2</v>
      </c>
    </row>
    <row r="402" spans="1:13" x14ac:dyDescent="0.25">
      <c r="A402" t="s">
        <v>200</v>
      </c>
      <c r="B402" s="3">
        <v>7.8972299999999999E-3</v>
      </c>
      <c r="C402" s="1">
        <v>4.1728142000000003E-2</v>
      </c>
      <c r="D402" s="3">
        <v>3.9579493E-2</v>
      </c>
      <c r="E402">
        <v>5.5477523000000001E-2</v>
      </c>
      <c r="F402" s="1">
        <v>0.20017927799999999</v>
      </c>
      <c r="G402" s="1">
        <v>8.7170367999999998E-2</v>
      </c>
      <c r="H402" s="2">
        <f t="shared" si="6"/>
        <v>0.34282716899999999</v>
      </c>
      <c r="I402" s="6">
        <v>2.7964326000000001E-2</v>
      </c>
      <c r="J402" s="6">
        <v>9.3030679000000005E-2</v>
      </c>
      <c r="K402" s="6">
        <v>2.8774464E-2</v>
      </c>
      <c r="L402" s="6">
        <v>3.1401062E-2</v>
      </c>
      <c r="M402" s="6">
        <v>1.1697625999999999E-2</v>
      </c>
    </row>
    <row r="403" spans="1:13" x14ac:dyDescent="0.25">
      <c r="A403" t="s">
        <v>425</v>
      </c>
      <c r="B403" s="3">
        <v>4.0961560000000001E-3</v>
      </c>
      <c r="C403" s="1">
        <v>4.1463156000000001E-2</v>
      </c>
      <c r="D403" s="3">
        <v>7.7567049999999998E-2</v>
      </c>
      <c r="E403">
        <v>7.7814938E-2</v>
      </c>
      <c r="F403" s="1">
        <v>0.12490258</v>
      </c>
      <c r="G403" s="1">
        <v>0.12943021800000001</v>
      </c>
      <c r="H403" s="2">
        <f t="shared" si="6"/>
        <v>0.33214773600000003</v>
      </c>
      <c r="I403" s="6">
        <v>4.4749825E-2</v>
      </c>
      <c r="J403" s="6">
        <v>9.0176102999999994E-2</v>
      </c>
      <c r="K403" s="6">
        <v>3.5614099000000003E-2</v>
      </c>
      <c r="L403" s="6">
        <v>1.3478728000000001E-2</v>
      </c>
      <c r="M403" s="6">
        <v>3.6453140000000002E-3</v>
      </c>
    </row>
    <row r="404" spans="1:13" x14ac:dyDescent="0.25">
      <c r="A404" t="s">
        <v>426</v>
      </c>
      <c r="B404" s="3">
        <v>9.0595459999999999E-3</v>
      </c>
      <c r="C404" s="1">
        <v>2.6939062E-2</v>
      </c>
      <c r="D404" s="3">
        <v>6.0519573E-2</v>
      </c>
      <c r="E404">
        <v>0.13366329099999999</v>
      </c>
      <c r="F404" s="1">
        <v>0.15081462100000001</v>
      </c>
      <c r="G404" s="1">
        <v>0.12081072299999999</v>
      </c>
      <c r="H404" s="2">
        <f t="shared" si="6"/>
        <v>0.40528863500000001</v>
      </c>
      <c r="I404" s="6">
        <v>3.6541419999999998E-2</v>
      </c>
      <c r="J404" s="6">
        <v>4.7217373E-2</v>
      </c>
      <c r="K404" s="6">
        <v>2.1515394E-2</v>
      </c>
      <c r="L404" s="6">
        <v>2.0365312E-2</v>
      </c>
      <c r="M404" s="6">
        <v>7.4378600000000001E-3</v>
      </c>
    </row>
    <row r="405" spans="1:13" x14ac:dyDescent="0.25">
      <c r="A405" t="s">
        <v>427</v>
      </c>
      <c r="B405" s="3">
        <v>0</v>
      </c>
      <c r="C405" s="1">
        <v>4.7542062000000003E-2</v>
      </c>
      <c r="D405" s="3">
        <v>6.7960103999999993E-2</v>
      </c>
      <c r="E405">
        <v>4.6723971000000003E-2</v>
      </c>
      <c r="F405" s="1">
        <v>0.14749652099999999</v>
      </c>
      <c r="G405" s="1">
        <v>0.101527116</v>
      </c>
      <c r="H405" s="2">
        <f t="shared" si="6"/>
        <v>0.295747608</v>
      </c>
      <c r="I405" s="6">
        <v>3.8055556999999997E-2</v>
      </c>
      <c r="J405" s="6">
        <v>9.0947704000000004E-2</v>
      </c>
      <c r="K405" s="6">
        <v>2.8123078999999999E-2</v>
      </c>
      <c r="L405" s="6">
        <v>1.4556336E-2</v>
      </c>
      <c r="M405" s="6">
        <v>2.0372756999999998E-2</v>
      </c>
    </row>
    <row r="406" spans="1:13" x14ac:dyDescent="0.25">
      <c r="A406" t="s">
        <v>428</v>
      </c>
      <c r="B406" s="3">
        <v>1.9854956999999999E-2</v>
      </c>
      <c r="C406" s="1">
        <v>6.6606446999999999E-2</v>
      </c>
      <c r="D406" s="3">
        <v>0.10972222700000001</v>
      </c>
      <c r="E406">
        <v>7.982156E-2</v>
      </c>
      <c r="F406" s="1">
        <v>0.101556322</v>
      </c>
      <c r="G406" s="1">
        <v>0.100496773</v>
      </c>
      <c r="H406" s="2">
        <f t="shared" si="6"/>
        <v>0.28187465499999997</v>
      </c>
      <c r="I406" s="6">
        <v>3.1955757000000001E-2</v>
      </c>
      <c r="J406" s="6">
        <v>7.8937117000000001E-2</v>
      </c>
      <c r="K406" s="6">
        <v>2.7167655999999998E-2</v>
      </c>
      <c r="L406" s="6">
        <v>2.9773766E-2</v>
      </c>
      <c r="M406" s="6">
        <v>0</v>
      </c>
    </row>
    <row r="407" spans="1:13" x14ac:dyDescent="0.25">
      <c r="A407" t="s">
        <v>201</v>
      </c>
      <c r="B407" s="3">
        <v>8.3297470000000002E-3</v>
      </c>
      <c r="C407" s="1">
        <v>5.7650752E-2</v>
      </c>
      <c r="D407" s="3">
        <v>8.1712659000000007E-2</v>
      </c>
      <c r="E407">
        <v>5.3469506999999999E-2</v>
      </c>
      <c r="F407" s="1">
        <v>0.19315760000000001</v>
      </c>
      <c r="G407" s="1">
        <v>4.7708565000000001E-2</v>
      </c>
      <c r="H407" s="2">
        <f t="shared" si="6"/>
        <v>0.29433567199999999</v>
      </c>
      <c r="I407" s="6">
        <v>4.8100083000000002E-2</v>
      </c>
      <c r="J407" s="6">
        <v>7.3382614999999998E-2</v>
      </c>
      <c r="K407" s="6">
        <v>2.8507814999999999E-2</v>
      </c>
      <c r="L407" s="6">
        <v>1.2033401000000001E-2</v>
      </c>
      <c r="M407" s="6">
        <v>8.2285599999999996E-4</v>
      </c>
    </row>
    <row r="408" spans="1:13" x14ac:dyDescent="0.25">
      <c r="A408" t="s">
        <v>202</v>
      </c>
      <c r="B408" s="3">
        <v>0</v>
      </c>
      <c r="C408" s="1">
        <v>4.8391575999999999E-2</v>
      </c>
      <c r="D408" s="3">
        <v>5.1135330999999999E-2</v>
      </c>
      <c r="E408">
        <v>5.7981856999999998E-2</v>
      </c>
      <c r="F408" s="1">
        <v>0.18876501900000001</v>
      </c>
      <c r="G408" s="1">
        <v>8.9036920000000006E-2</v>
      </c>
      <c r="H408" s="2">
        <f t="shared" si="6"/>
        <v>0.33578379600000002</v>
      </c>
      <c r="I408" s="6">
        <v>2.7211549000000002E-2</v>
      </c>
      <c r="J408" s="6">
        <v>8.7090289000000001E-2</v>
      </c>
      <c r="K408" s="6">
        <v>2.1679837E-2</v>
      </c>
      <c r="L408" s="6">
        <v>1.5405738E-2</v>
      </c>
      <c r="M408" s="6">
        <v>8.1911769999999991E-3</v>
      </c>
    </row>
    <row r="409" spans="1:13" x14ac:dyDescent="0.25">
      <c r="A409" t="s">
        <v>203</v>
      </c>
      <c r="B409" s="3">
        <v>8.07221E-4</v>
      </c>
      <c r="C409" s="1">
        <v>3.9076277E-2</v>
      </c>
      <c r="D409" s="3">
        <v>5.3058194000000003E-2</v>
      </c>
      <c r="E409">
        <v>5.5527559999999997E-2</v>
      </c>
      <c r="F409" s="1">
        <v>0.22488143899999999</v>
      </c>
      <c r="G409" s="1">
        <v>9.4869618000000003E-2</v>
      </c>
      <c r="H409" s="2">
        <f t="shared" si="6"/>
        <v>0.37527861699999998</v>
      </c>
      <c r="I409" s="6">
        <v>3.1674097999999998E-2</v>
      </c>
      <c r="J409" s="6">
        <v>5.7323180000000001E-2</v>
      </c>
      <c r="K409" s="6">
        <v>2.3643212E-2</v>
      </c>
      <c r="L409" s="6">
        <v>3.5490756999999998E-2</v>
      </c>
      <c r="M409" s="6">
        <v>1.5035033999999999E-2</v>
      </c>
    </row>
    <row r="410" spans="1:13" x14ac:dyDescent="0.25">
      <c r="A410" t="s">
        <v>429</v>
      </c>
      <c r="B410" s="3">
        <v>0</v>
      </c>
      <c r="C410" s="1">
        <v>6.0018716E-2</v>
      </c>
      <c r="D410" s="3">
        <v>5.4812234000000001E-2</v>
      </c>
      <c r="E410">
        <v>7.0059494E-2</v>
      </c>
      <c r="F410" s="1">
        <v>0.15089586599999999</v>
      </c>
      <c r="G410" s="1">
        <v>9.6182614999999999E-2</v>
      </c>
      <c r="H410" s="2">
        <f t="shared" si="6"/>
        <v>0.31713797499999996</v>
      </c>
      <c r="I410" s="6">
        <v>3.0359644000000002E-2</v>
      </c>
      <c r="J410" s="6">
        <v>9.0809501000000001E-2</v>
      </c>
      <c r="K410" s="6">
        <v>2.7844529999999999E-2</v>
      </c>
      <c r="L410" s="6">
        <v>3.2340844000000001E-2</v>
      </c>
      <c r="M410" s="6">
        <v>1.3683514000000001E-2</v>
      </c>
    </row>
    <row r="411" spans="1:13" x14ac:dyDescent="0.25">
      <c r="A411" t="s">
        <v>430</v>
      </c>
      <c r="B411" s="3">
        <v>0</v>
      </c>
      <c r="C411" s="1">
        <v>5.1183349000000003E-2</v>
      </c>
      <c r="D411" s="3">
        <v>5.6162376999999999E-2</v>
      </c>
      <c r="E411">
        <v>0.11020010600000001</v>
      </c>
      <c r="F411" s="1">
        <v>0.162141655</v>
      </c>
      <c r="G411" s="1">
        <v>9.5266487999999996E-2</v>
      </c>
      <c r="H411" s="2">
        <f t="shared" si="6"/>
        <v>0.367608249</v>
      </c>
      <c r="I411" s="6">
        <v>4.2139283E-2</v>
      </c>
      <c r="J411" s="6">
        <v>5.2302788000000003E-2</v>
      </c>
      <c r="K411" s="6">
        <v>2.1742886999999999E-2</v>
      </c>
      <c r="L411" s="6">
        <v>1.5797386E-2</v>
      </c>
      <c r="M411" s="6">
        <v>1.4559704999999999E-2</v>
      </c>
    </row>
    <row r="412" spans="1:13" x14ac:dyDescent="0.25">
      <c r="A412" t="s">
        <v>431</v>
      </c>
      <c r="B412" s="3">
        <v>1.7510509E-2</v>
      </c>
      <c r="C412" s="1">
        <v>3.9003461000000003E-2</v>
      </c>
      <c r="D412" s="3">
        <v>0.109141613</v>
      </c>
      <c r="E412">
        <v>7.9901339000000002E-2</v>
      </c>
      <c r="F412" s="1">
        <v>0.126083574</v>
      </c>
      <c r="G412" s="1">
        <v>0.11278998799999999</v>
      </c>
      <c r="H412" s="2">
        <f t="shared" si="6"/>
        <v>0.318774901</v>
      </c>
      <c r="I412" s="6">
        <v>4.0482619999999997E-2</v>
      </c>
      <c r="J412" s="6">
        <v>7.0233161000000002E-2</v>
      </c>
      <c r="K412" s="6">
        <v>1.7008036000000001E-2</v>
      </c>
      <c r="L412" s="6">
        <v>3.3432705E-2</v>
      </c>
      <c r="M412" s="6">
        <v>3.2077499999999998E-4</v>
      </c>
    </row>
    <row r="413" spans="1:13" x14ac:dyDescent="0.25">
      <c r="A413" t="s">
        <v>204</v>
      </c>
      <c r="B413" s="3">
        <v>2.1929499999999999E-4</v>
      </c>
      <c r="C413" s="1">
        <v>4.1629813000000002E-2</v>
      </c>
      <c r="D413" s="3">
        <v>5.7156154000000001E-2</v>
      </c>
      <c r="E413">
        <v>8.0910665000000007E-2</v>
      </c>
      <c r="F413" s="1">
        <v>0.142204261</v>
      </c>
      <c r="G413" s="1">
        <v>0.10805274600000001</v>
      </c>
      <c r="H413" s="2">
        <f t="shared" si="6"/>
        <v>0.33116767199999997</v>
      </c>
      <c r="I413" s="6">
        <v>3.4846282999999999E-2</v>
      </c>
      <c r="J413" s="6">
        <v>8.0607101E-2</v>
      </c>
      <c r="K413" s="6">
        <v>2.4856514999999999E-2</v>
      </c>
      <c r="L413" s="6">
        <v>3.4859870000000001E-2</v>
      </c>
      <c r="M413" s="6">
        <v>1.0345709999999999E-2</v>
      </c>
    </row>
    <row r="414" spans="1:13" x14ac:dyDescent="0.25">
      <c r="A414" t="s">
        <v>432</v>
      </c>
      <c r="B414" s="3">
        <v>1.4034200000000001E-4</v>
      </c>
      <c r="C414" s="1">
        <v>2.1816495000000002E-2</v>
      </c>
      <c r="D414" s="3">
        <v>8.6052733000000006E-2</v>
      </c>
      <c r="E414">
        <v>0.112543371</v>
      </c>
      <c r="F414" s="1">
        <v>0.13963540799999999</v>
      </c>
      <c r="G414" s="1">
        <v>0.120426405</v>
      </c>
      <c r="H414" s="2">
        <f t="shared" si="6"/>
        <v>0.37260518399999998</v>
      </c>
      <c r="I414" s="6">
        <v>4.4850792E-2</v>
      </c>
      <c r="J414" s="6">
        <v>4.7535834999999999E-2</v>
      </c>
      <c r="K414" s="6">
        <v>1.0651234000000001E-2</v>
      </c>
      <c r="L414" s="6">
        <v>1.2498881999999999E-2</v>
      </c>
      <c r="M414" s="6">
        <v>1.3949423000000001E-2</v>
      </c>
    </row>
    <row r="415" spans="1:13" x14ac:dyDescent="0.25">
      <c r="A415" t="s">
        <v>433</v>
      </c>
      <c r="B415" s="3">
        <v>0</v>
      </c>
      <c r="C415" s="1">
        <v>4.1776278E-2</v>
      </c>
      <c r="D415" s="3">
        <v>5.2054128999999998E-2</v>
      </c>
      <c r="E415">
        <v>6.1615727000000002E-2</v>
      </c>
      <c r="F415" s="1">
        <v>0.18530480499999999</v>
      </c>
      <c r="G415" s="1">
        <v>8.9154746000000007E-2</v>
      </c>
      <c r="H415" s="2">
        <f t="shared" si="6"/>
        <v>0.33607527800000003</v>
      </c>
      <c r="I415" s="6">
        <v>4.0519284000000003E-2</v>
      </c>
      <c r="J415" s="6">
        <v>8.9556916E-2</v>
      </c>
      <c r="K415" s="6">
        <v>1.9828346E-2</v>
      </c>
      <c r="L415" s="6">
        <v>2.5169363E-2</v>
      </c>
      <c r="M415" s="6">
        <v>2.1335005000000001E-2</v>
      </c>
    </row>
    <row r="416" spans="1:13" x14ac:dyDescent="0.25">
      <c r="A416" t="s">
        <v>205</v>
      </c>
      <c r="B416" s="3">
        <v>1.4374779000000001E-2</v>
      </c>
      <c r="C416" s="1">
        <v>4.0352968000000003E-2</v>
      </c>
      <c r="D416" s="3">
        <v>4.5300546999999997E-2</v>
      </c>
      <c r="E416">
        <v>6.1208398999999997E-2</v>
      </c>
      <c r="F416" s="1">
        <v>0.18990938700000001</v>
      </c>
      <c r="G416" s="1">
        <v>0.115694243</v>
      </c>
      <c r="H416" s="2">
        <f t="shared" si="6"/>
        <v>0.36681202899999998</v>
      </c>
      <c r="I416" s="6">
        <v>4.447255E-2</v>
      </c>
      <c r="J416" s="6">
        <v>6.3843180999999999E-2</v>
      </c>
      <c r="K416" s="6">
        <v>1.0737534999999999E-2</v>
      </c>
      <c r="L416" s="6">
        <v>2.2438429999999999E-2</v>
      </c>
      <c r="M416" s="6">
        <v>3.9329669999999999E-3</v>
      </c>
    </row>
    <row r="417" spans="1:13" x14ac:dyDescent="0.25">
      <c r="A417" t="s">
        <v>434</v>
      </c>
      <c r="B417" s="3">
        <v>0</v>
      </c>
      <c r="C417" s="1">
        <v>5.7106653E-2</v>
      </c>
      <c r="D417" s="3">
        <v>7.5920888000000006E-2</v>
      </c>
      <c r="E417">
        <v>6.7572740000000006E-2</v>
      </c>
      <c r="F417" s="1">
        <v>0.102474256</v>
      </c>
      <c r="G417" s="1">
        <v>0.13404196500000001</v>
      </c>
      <c r="H417" s="2">
        <f t="shared" si="6"/>
        <v>0.30408896100000005</v>
      </c>
      <c r="I417" s="6">
        <v>2.7981582000000001E-2</v>
      </c>
      <c r="J417" s="6">
        <v>9.9971089999999999E-2</v>
      </c>
      <c r="K417" s="6">
        <v>3.4448487999999999E-2</v>
      </c>
      <c r="L417" s="6">
        <v>4.3955239999999996E-3</v>
      </c>
      <c r="M417" s="6">
        <v>3.7797024999999998E-2</v>
      </c>
    </row>
    <row r="418" spans="1:13" x14ac:dyDescent="0.25">
      <c r="A418" t="s">
        <v>435</v>
      </c>
      <c r="B418" s="3">
        <v>0</v>
      </c>
      <c r="C418" s="1">
        <v>5.3073114999999997E-2</v>
      </c>
      <c r="D418" s="3">
        <v>9.4565795999999994E-2</v>
      </c>
      <c r="E418">
        <v>4.4030589000000002E-2</v>
      </c>
      <c r="F418" s="1">
        <v>0.14210590200000001</v>
      </c>
      <c r="G418" s="1">
        <v>0.119497828</v>
      </c>
      <c r="H418" s="2">
        <f t="shared" si="6"/>
        <v>0.30563431900000004</v>
      </c>
      <c r="I418" s="6">
        <v>3.2642516000000003E-2</v>
      </c>
      <c r="J418" s="6">
        <v>8.7479376999999997E-2</v>
      </c>
      <c r="K418" s="6">
        <v>2.8520236000000001E-2</v>
      </c>
      <c r="L418" s="6">
        <v>7.1284929999999996E-3</v>
      </c>
      <c r="M418" s="6">
        <v>7.2516710000000003E-3</v>
      </c>
    </row>
    <row r="419" spans="1:13" x14ac:dyDescent="0.25">
      <c r="A419" t="s">
        <v>436</v>
      </c>
      <c r="B419" s="3">
        <v>5.5614810000000001E-3</v>
      </c>
      <c r="C419" s="1">
        <v>5.8484181000000003E-2</v>
      </c>
      <c r="D419" s="3">
        <v>5.8161669999999999E-2</v>
      </c>
      <c r="E419">
        <v>8.4877782999999998E-2</v>
      </c>
      <c r="F419" s="1">
        <v>0.19899123299999999</v>
      </c>
      <c r="G419" s="1">
        <v>7.5874232999999999E-2</v>
      </c>
      <c r="H419" s="2">
        <f t="shared" si="6"/>
        <v>0.35974324899999999</v>
      </c>
      <c r="I419" s="6">
        <v>3.1888418000000002E-2</v>
      </c>
      <c r="J419" s="6">
        <v>4.8506859999999999E-2</v>
      </c>
      <c r="K419" s="6">
        <v>2.2807833E-2</v>
      </c>
      <c r="L419" s="6">
        <v>1.4738955E-2</v>
      </c>
      <c r="M419" s="6">
        <v>1.9959079999999998E-3</v>
      </c>
    </row>
    <row r="420" spans="1:13" x14ac:dyDescent="0.25">
      <c r="A420" t="s">
        <v>206</v>
      </c>
      <c r="B420" s="3">
        <v>0</v>
      </c>
      <c r="C420" s="1">
        <v>5.3229423999999997E-2</v>
      </c>
      <c r="D420" s="3">
        <v>6.3734227000000004E-2</v>
      </c>
      <c r="E420">
        <v>5.0385058000000003E-2</v>
      </c>
      <c r="F420" s="1">
        <v>0.14714042099999999</v>
      </c>
      <c r="G420" s="1">
        <v>8.7205827E-2</v>
      </c>
      <c r="H420" s="2">
        <f t="shared" si="6"/>
        <v>0.28473130600000002</v>
      </c>
      <c r="I420" s="6">
        <v>4.9297115000000002E-2</v>
      </c>
      <c r="J420" s="6">
        <v>6.9974813999999996E-2</v>
      </c>
      <c r="K420" s="6">
        <v>2.0428761E-2</v>
      </c>
      <c r="L420" s="6">
        <v>2.1473058E-2</v>
      </c>
      <c r="M420" s="6">
        <v>1.8084116000000001E-2</v>
      </c>
    </row>
    <row r="421" spans="1:13" x14ac:dyDescent="0.25">
      <c r="A421" t="s">
        <v>207</v>
      </c>
      <c r="B421" s="3">
        <v>1.4789899999999999E-3</v>
      </c>
      <c r="C421" s="1">
        <v>2.9048087E-2</v>
      </c>
      <c r="D421" s="3">
        <v>7.0566543999999995E-2</v>
      </c>
      <c r="E421">
        <v>8.0401397999999999E-2</v>
      </c>
      <c r="F421" s="1">
        <v>0.14808138200000001</v>
      </c>
      <c r="G421" s="1">
        <v>8.8453558000000002E-2</v>
      </c>
      <c r="H421" s="2">
        <f t="shared" si="6"/>
        <v>0.31693633799999998</v>
      </c>
      <c r="I421" s="6">
        <v>3.9268943000000001E-2</v>
      </c>
      <c r="J421" s="6">
        <v>5.5549767E-2</v>
      </c>
      <c r="K421" s="6">
        <v>2.8879735E-2</v>
      </c>
      <c r="L421" s="6">
        <v>2.8563162E-2</v>
      </c>
      <c r="M421" s="6">
        <v>1.5823944999999999E-2</v>
      </c>
    </row>
    <row r="422" spans="1:13" x14ac:dyDescent="0.25">
      <c r="A422" t="s">
        <v>437</v>
      </c>
      <c r="B422" s="3">
        <v>6.6025119999999996E-3</v>
      </c>
      <c r="C422" s="1">
        <v>5.1325931999999998E-2</v>
      </c>
      <c r="D422" s="3">
        <v>4.9078677000000001E-2</v>
      </c>
      <c r="E422">
        <v>5.3930101000000001E-2</v>
      </c>
      <c r="F422" s="1">
        <v>0.15006551200000001</v>
      </c>
      <c r="G422" s="1">
        <v>0.10169494900000001</v>
      </c>
      <c r="H422" s="2">
        <f t="shared" si="6"/>
        <v>0.305690562</v>
      </c>
      <c r="I422" s="6">
        <v>3.4745915000000002E-2</v>
      </c>
      <c r="J422" s="6">
        <v>9.0709425999999996E-2</v>
      </c>
      <c r="K422" s="6">
        <v>2.9580869999999999E-2</v>
      </c>
      <c r="L422" s="6">
        <v>1.7393573999999998E-2</v>
      </c>
      <c r="M422" s="6">
        <v>1.6963913000000001E-2</v>
      </c>
    </row>
    <row r="423" spans="1:13" x14ac:dyDescent="0.25">
      <c r="A423" t="s">
        <v>208</v>
      </c>
      <c r="B423" s="3">
        <v>6.3195200000000003E-3</v>
      </c>
      <c r="C423" s="1">
        <v>5.6239209999999998E-2</v>
      </c>
      <c r="D423" s="3">
        <v>5.5893982000000002E-2</v>
      </c>
      <c r="E423">
        <v>6.5543959999999998E-2</v>
      </c>
      <c r="F423" s="1">
        <v>0.13565514100000001</v>
      </c>
      <c r="G423" s="1">
        <v>9.1114872999999999E-2</v>
      </c>
      <c r="H423" s="2">
        <f t="shared" si="6"/>
        <v>0.29231397399999998</v>
      </c>
      <c r="I423" s="6">
        <v>1.6715082999999999E-2</v>
      </c>
      <c r="J423" s="6">
        <v>7.8283467999999995E-2</v>
      </c>
      <c r="K423" s="6">
        <v>3.0044363000000001E-2</v>
      </c>
      <c r="L423" s="6">
        <v>1.5958087999999999E-2</v>
      </c>
      <c r="M423" s="6">
        <v>1.8035804999999999E-2</v>
      </c>
    </row>
    <row r="424" spans="1:13" x14ac:dyDescent="0.25">
      <c r="A424" t="s">
        <v>209</v>
      </c>
      <c r="B424" s="3">
        <v>0</v>
      </c>
      <c r="C424" s="1">
        <v>6.4009651000000001E-2</v>
      </c>
      <c r="D424" s="3">
        <v>5.5337221999999998E-2</v>
      </c>
      <c r="E424">
        <v>5.3887768000000003E-2</v>
      </c>
      <c r="F424" s="1">
        <v>0.175776138</v>
      </c>
      <c r="G424" s="1">
        <v>8.8851768999999997E-2</v>
      </c>
      <c r="H424" s="2">
        <f t="shared" si="6"/>
        <v>0.318515675</v>
      </c>
      <c r="I424" s="6">
        <v>4.1590426999999999E-2</v>
      </c>
      <c r="J424" s="6">
        <v>8.5687778000000006E-2</v>
      </c>
      <c r="K424" s="6">
        <v>2.2050784E-2</v>
      </c>
      <c r="L424" s="6">
        <v>1.4194605000000001E-2</v>
      </c>
      <c r="M424" s="6">
        <v>1.3023966999999999E-2</v>
      </c>
    </row>
    <row r="425" spans="1:13" x14ac:dyDescent="0.25">
      <c r="A425" s="1" t="s">
        <v>438</v>
      </c>
      <c r="B425" s="3">
        <f>AVERAGE(B2:B424)</f>
        <v>5.4559435768321519E-3</v>
      </c>
      <c r="C425" s="4">
        <f t="shared" ref="C425:M425" si="7">AVERAGE(C2:C424)</f>
        <v>4.9638221158392455E-2</v>
      </c>
      <c r="D425" s="3">
        <f t="shared" si="7"/>
        <v>6.3744387638297817E-2</v>
      </c>
      <c r="E425" s="4">
        <f t="shared" si="7"/>
        <v>7.1832747851063819E-2</v>
      </c>
      <c r="F425" s="4">
        <f t="shared" si="7"/>
        <v>0.1626159862789599</v>
      </c>
      <c r="G425" s="4">
        <f t="shared" si="7"/>
        <v>9.769482477068564E-2</v>
      </c>
      <c r="H425" s="3">
        <f t="shared" si="7"/>
        <v>0.33214355890070912</v>
      </c>
      <c r="I425" s="4">
        <f t="shared" si="7"/>
        <v>3.5792035011820329E-2</v>
      </c>
      <c r="J425" s="4">
        <f t="shared" si="7"/>
        <v>7.8724757056737552E-2</v>
      </c>
      <c r="K425" s="4">
        <f t="shared" si="7"/>
        <v>2.3873705735224553E-2</v>
      </c>
      <c r="L425" s="4">
        <f t="shared" si="7"/>
        <v>1.913925426004727E-2</v>
      </c>
      <c r="M425" s="4">
        <f t="shared" si="7"/>
        <v>1.1372072817966894E-2</v>
      </c>
    </row>
    <row r="426" spans="1:13" x14ac:dyDescent="0.25">
      <c r="A426" s="1" t="s">
        <v>222</v>
      </c>
      <c r="B426" s="3">
        <f>_xlfn.STDEV.P(B2:B424)</f>
        <v>8.3618473013482783E-3</v>
      </c>
      <c r="C426" s="4">
        <f t="shared" ref="C426:M426" si="8">_xlfn.STDEV.P(C2:C424)</f>
        <v>1.5077821446417538E-2</v>
      </c>
      <c r="D426" s="3">
        <f t="shared" si="8"/>
        <v>2.3367804423539737E-2</v>
      </c>
      <c r="E426" s="4">
        <f t="shared" si="8"/>
        <v>2.4794558720145715E-2</v>
      </c>
      <c r="F426" s="4">
        <f t="shared" si="8"/>
        <v>2.9376354162299199E-2</v>
      </c>
      <c r="G426" s="4">
        <f t="shared" si="8"/>
        <v>1.7531295386749378E-2</v>
      </c>
      <c r="H426" s="3">
        <f t="shared" si="8"/>
        <v>3.3553953922050392E-2</v>
      </c>
      <c r="I426" s="4">
        <f t="shared" si="8"/>
        <v>7.8177870473530343E-3</v>
      </c>
      <c r="J426" s="4">
        <f t="shared" si="8"/>
        <v>2.1597640098074668E-2</v>
      </c>
      <c r="K426" s="4">
        <f t="shared" si="8"/>
        <v>9.4889244401571062E-3</v>
      </c>
      <c r="L426" s="4">
        <f t="shared" si="8"/>
        <v>1.0712444440382045E-2</v>
      </c>
      <c r="M426" s="4">
        <f t="shared" si="8"/>
        <v>7.9402969273841776E-3</v>
      </c>
    </row>
    <row r="427" spans="1:13" x14ac:dyDescent="0.25">
      <c r="B427" s="2" t="s">
        <v>220</v>
      </c>
      <c r="C427" s="1" t="s">
        <v>211</v>
      </c>
      <c r="D427" s="2" t="s">
        <v>213</v>
      </c>
      <c r="E427" s="1" t="s">
        <v>212</v>
      </c>
      <c r="F427" s="1" t="s">
        <v>215</v>
      </c>
      <c r="G427" s="1" t="s">
        <v>216</v>
      </c>
      <c r="H427" s="2" t="s">
        <v>223</v>
      </c>
      <c r="I427" s="6" t="s">
        <v>214</v>
      </c>
      <c r="J427" s="6" t="s">
        <v>217</v>
      </c>
      <c r="K427" s="6" t="s">
        <v>218</v>
      </c>
      <c r="L427" s="6" t="s">
        <v>219</v>
      </c>
      <c r="M427" s="6" t="s">
        <v>221</v>
      </c>
    </row>
    <row r="428" spans="1:13" x14ac:dyDescent="0.25">
      <c r="B428" s="3">
        <f>MEDIAN(B2:B424)</f>
        <v>0</v>
      </c>
      <c r="D428" s="3">
        <f>MEDIAN(D2:D424)</f>
        <v>6.2542371999999999E-2</v>
      </c>
    </row>
    <row r="430" spans="1:13" x14ac:dyDescent="0.25">
      <c r="B430" s="3" t="s">
        <v>439</v>
      </c>
      <c r="C430"/>
      <c r="D430" s="3" t="s">
        <v>440</v>
      </c>
      <c r="F430"/>
      <c r="G430"/>
      <c r="H430" s="3" t="s">
        <v>441</v>
      </c>
      <c r="I430"/>
    </row>
    <row r="431" spans="1:13" x14ac:dyDescent="0.25">
      <c r="C431"/>
      <c r="F431"/>
      <c r="G431"/>
      <c r="I431"/>
    </row>
    <row r="432" spans="1:13" x14ac:dyDescent="0.25">
      <c r="B432" s="9" t="s">
        <v>444</v>
      </c>
      <c r="C432" s="9"/>
      <c r="D432" s="9" t="s">
        <v>445</v>
      </c>
      <c r="E432" s="9"/>
      <c r="F432"/>
      <c r="G432" t="s">
        <v>447</v>
      </c>
      <c r="H432" s="9" t="s">
        <v>446</v>
      </c>
      <c r="I432" s="9"/>
    </row>
    <row r="433" spans="1:9" x14ac:dyDescent="0.25">
      <c r="C433"/>
      <c r="F433"/>
      <c r="G433"/>
      <c r="I433"/>
    </row>
    <row r="434" spans="1:9" x14ac:dyDescent="0.25">
      <c r="A434" t="s">
        <v>224</v>
      </c>
      <c r="B434"/>
      <c r="C434"/>
      <c r="D434"/>
      <c r="E434" s="5"/>
      <c r="F434" s="5"/>
      <c r="G434" s="5"/>
      <c r="H434" s="5"/>
      <c r="I434" s="5"/>
    </row>
    <row r="437" spans="1:9" x14ac:dyDescent="0.25">
      <c r="B437" s="2"/>
      <c r="C437" s="2"/>
      <c r="D437" s="2"/>
    </row>
    <row r="438" spans="1:9" x14ac:dyDescent="0.25">
      <c r="B438" s="2"/>
      <c r="C438" s="2"/>
      <c r="D438" s="2"/>
    </row>
    <row r="439" spans="1:9" x14ac:dyDescent="0.25">
      <c r="B439" s="2"/>
      <c r="C439" s="2"/>
      <c r="D439" s="2"/>
    </row>
    <row r="440" spans="1:9" x14ac:dyDescent="0.25">
      <c r="B440" s="2"/>
      <c r="C440" s="2"/>
      <c r="D440" s="2"/>
    </row>
    <row r="441" spans="1:9" x14ac:dyDescent="0.25">
      <c r="B441" s="2"/>
      <c r="C441" s="2"/>
      <c r="D441" s="2"/>
    </row>
    <row r="442" spans="1:9" x14ac:dyDescent="0.25">
      <c r="B442" s="2"/>
      <c r="C442" s="2"/>
      <c r="D442" s="2"/>
    </row>
    <row r="443" spans="1:9" x14ac:dyDescent="0.25">
      <c r="B443" s="2"/>
      <c r="C443" s="2"/>
      <c r="D443" s="2"/>
    </row>
    <row r="444" spans="1:9" x14ac:dyDescent="0.25">
      <c r="B444" s="2"/>
      <c r="C444" s="2"/>
      <c r="D444" s="2"/>
    </row>
    <row r="445" spans="1:9" x14ac:dyDescent="0.25">
      <c r="B445" s="2"/>
      <c r="C445" s="2"/>
      <c r="D445" s="2"/>
    </row>
    <row r="446" spans="1:9" x14ac:dyDescent="0.25">
      <c r="B446" s="2"/>
      <c r="C446" s="2"/>
      <c r="D446" s="2"/>
    </row>
    <row r="447" spans="1:9" x14ac:dyDescent="0.25">
      <c r="B447" s="2"/>
      <c r="C447" s="2"/>
      <c r="D447" s="2"/>
    </row>
    <row r="448" spans="1:9" x14ac:dyDescent="0.25">
      <c r="B448" s="2"/>
      <c r="C448" s="2"/>
      <c r="D448" s="2"/>
    </row>
    <row r="449" spans="2:4" x14ac:dyDescent="0.25">
      <c r="B449" s="2"/>
      <c r="C449" s="2"/>
      <c r="D449" s="2"/>
    </row>
    <row r="450" spans="2:4" x14ac:dyDescent="0.25">
      <c r="B450" s="2"/>
      <c r="C450" s="2"/>
      <c r="D450" s="2"/>
    </row>
    <row r="451" spans="2:4" x14ac:dyDescent="0.25">
      <c r="B451" s="2"/>
      <c r="C451" s="2"/>
      <c r="D451" s="2"/>
    </row>
    <row r="452" spans="2:4" x14ac:dyDescent="0.25">
      <c r="B452" s="2"/>
      <c r="C452" s="2"/>
      <c r="D452" s="2"/>
    </row>
    <row r="453" spans="2:4" x14ac:dyDescent="0.25">
      <c r="B453" s="2"/>
      <c r="C453" s="2"/>
      <c r="D453" s="2"/>
    </row>
    <row r="454" spans="2:4" x14ac:dyDescent="0.25">
      <c r="B454" s="2"/>
      <c r="C454" s="2"/>
      <c r="D454" s="2"/>
    </row>
    <row r="455" spans="2:4" x14ac:dyDescent="0.25">
      <c r="B455" s="2"/>
      <c r="C455" s="2"/>
      <c r="D455" s="2"/>
    </row>
    <row r="456" spans="2:4" x14ac:dyDescent="0.25">
      <c r="B456" s="2"/>
      <c r="C456" s="2"/>
      <c r="D456" s="2"/>
    </row>
    <row r="457" spans="2:4" x14ac:dyDescent="0.25">
      <c r="B457" s="2"/>
      <c r="C457" s="2"/>
      <c r="D457" s="2"/>
    </row>
    <row r="458" spans="2:4" x14ac:dyDescent="0.25">
      <c r="B458" s="2"/>
      <c r="C458" s="2"/>
      <c r="D458" s="2"/>
    </row>
    <row r="459" spans="2:4" x14ac:dyDescent="0.25">
      <c r="B459" s="2"/>
      <c r="C459" s="2"/>
      <c r="D459" s="2"/>
    </row>
    <row r="460" spans="2:4" x14ac:dyDescent="0.25">
      <c r="B460" s="2"/>
      <c r="C460" s="2"/>
      <c r="D460" s="2"/>
    </row>
    <row r="461" spans="2:4" x14ac:dyDescent="0.25">
      <c r="B461" s="2"/>
      <c r="C461" s="2"/>
      <c r="D461" s="2"/>
    </row>
    <row r="462" spans="2:4" x14ac:dyDescent="0.25">
      <c r="B462" s="2"/>
      <c r="C462" s="2"/>
      <c r="D462" s="2"/>
    </row>
    <row r="463" spans="2:4" x14ac:dyDescent="0.25">
      <c r="B463" s="2"/>
      <c r="C463" s="2"/>
      <c r="D463" s="2"/>
    </row>
    <row r="464" spans="2:4" x14ac:dyDescent="0.25">
      <c r="B464" s="2"/>
      <c r="C464" s="2"/>
      <c r="D464" s="2"/>
    </row>
    <row r="465" spans="2:4" x14ac:dyDescent="0.25">
      <c r="B465" s="2"/>
      <c r="C465" s="2"/>
      <c r="D465" s="2"/>
    </row>
    <row r="466" spans="2:4" x14ac:dyDescent="0.25">
      <c r="B466" s="2"/>
      <c r="C466" s="2"/>
      <c r="D466" s="2"/>
    </row>
    <row r="467" spans="2:4" x14ac:dyDescent="0.25">
      <c r="B467" s="2"/>
      <c r="C467" s="2"/>
      <c r="D467" s="2"/>
    </row>
    <row r="468" spans="2:4" x14ac:dyDescent="0.25">
      <c r="B468" s="2"/>
      <c r="C468" s="2"/>
      <c r="D468" s="2"/>
    </row>
    <row r="469" spans="2:4" x14ac:dyDescent="0.25">
      <c r="B469" s="2"/>
      <c r="C469" s="2"/>
      <c r="D469" s="2"/>
    </row>
    <row r="470" spans="2:4" x14ac:dyDescent="0.25">
      <c r="B470" s="2"/>
      <c r="C470" s="2"/>
      <c r="D470" s="2"/>
    </row>
    <row r="471" spans="2:4" x14ac:dyDescent="0.25">
      <c r="B471" s="2"/>
      <c r="C471" s="2"/>
      <c r="D471" s="2"/>
    </row>
    <row r="472" spans="2:4" x14ac:dyDescent="0.25">
      <c r="B472" s="2"/>
      <c r="C472" s="2"/>
      <c r="D472" s="2"/>
    </row>
    <row r="473" spans="2:4" x14ac:dyDescent="0.25">
      <c r="B473" s="2"/>
      <c r="C473" s="2"/>
      <c r="D473" s="2"/>
    </row>
    <row r="474" spans="2:4" x14ac:dyDescent="0.25">
      <c r="B474" s="2"/>
      <c r="C474" s="2"/>
      <c r="D474" s="2"/>
    </row>
    <row r="475" spans="2:4" x14ac:dyDescent="0.25">
      <c r="B475" s="2"/>
      <c r="C475" s="2"/>
      <c r="D475" s="2"/>
    </row>
    <row r="476" spans="2:4" x14ac:dyDescent="0.25">
      <c r="B476" s="2"/>
      <c r="C476" s="2"/>
      <c r="D476" s="2"/>
    </row>
    <row r="477" spans="2:4" x14ac:dyDescent="0.25">
      <c r="B477" s="2"/>
      <c r="C477" s="2"/>
      <c r="D477" s="2"/>
    </row>
    <row r="478" spans="2:4" x14ac:dyDescent="0.25">
      <c r="B478" s="2"/>
      <c r="C478" s="2"/>
      <c r="D478" s="2"/>
    </row>
    <row r="479" spans="2:4" x14ac:dyDescent="0.25">
      <c r="B479" s="2"/>
      <c r="C479" s="2"/>
      <c r="D479" s="2"/>
    </row>
    <row r="480" spans="2:4" x14ac:dyDescent="0.25">
      <c r="B480" s="2"/>
      <c r="C480" s="2"/>
      <c r="D480" s="2"/>
    </row>
    <row r="481" spans="2:4" x14ac:dyDescent="0.25">
      <c r="B481" s="2"/>
      <c r="C481" s="2"/>
      <c r="D481" s="2"/>
    </row>
    <row r="482" spans="2:4" x14ac:dyDescent="0.25">
      <c r="B482" s="2"/>
      <c r="C482" s="2"/>
      <c r="D482" s="2"/>
    </row>
    <row r="483" spans="2:4" x14ac:dyDescent="0.25">
      <c r="B483" s="2"/>
      <c r="C483" s="2"/>
      <c r="D483" s="2"/>
    </row>
    <row r="484" spans="2:4" x14ac:dyDescent="0.25">
      <c r="B484" s="2"/>
      <c r="C484" s="2"/>
      <c r="D484" s="2"/>
    </row>
    <row r="485" spans="2:4" x14ac:dyDescent="0.25">
      <c r="B485" s="2"/>
      <c r="C485" s="2"/>
      <c r="D485" s="2"/>
    </row>
    <row r="486" spans="2:4" x14ac:dyDescent="0.25">
      <c r="B486" s="2"/>
      <c r="C486" s="2"/>
      <c r="D486" s="2"/>
    </row>
    <row r="487" spans="2:4" x14ac:dyDescent="0.25">
      <c r="B487" s="2"/>
      <c r="C487" s="2"/>
      <c r="D487" s="2"/>
    </row>
    <row r="488" spans="2:4" x14ac:dyDescent="0.25">
      <c r="B488" s="2"/>
      <c r="C488" s="2"/>
      <c r="D488" s="2"/>
    </row>
    <row r="489" spans="2:4" x14ac:dyDescent="0.25">
      <c r="B489" s="2"/>
      <c r="C489" s="2"/>
      <c r="D489" s="2"/>
    </row>
    <row r="490" spans="2:4" x14ac:dyDescent="0.25">
      <c r="B490" s="2"/>
      <c r="C490" s="2"/>
      <c r="D490" s="2"/>
    </row>
    <row r="491" spans="2:4" x14ac:dyDescent="0.25">
      <c r="B491" s="2"/>
      <c r="C491" s="2"/>
      <c r="D491" s="2"/>
    </row>
    <row r="492" spans="2:4" x14ac:dyDescent="0.25">
      <c r="B492" s="2"/>
      <c r="C492" s="2"/>
      <c r="D492" s="2"/>
    </row>
    <row r="493" spans="2:4" x14ac:dyDescent="0.25">
      <c r="B493" s="2"/>
      <c r="C493" s="2"/>
      <c r="D493" s="2"/>
    </row>
    <row r="494" spans="2:4" x14ac:dyDescent="0.25">
      <c r="B494" s="2"/>
      <c r="C494" s="2"/>
      <c r="D494" s="2"/>
    </row>
    <row r="495" spans="2:4" x14ac:dyDescent="0.25">
      <c r="B495" s="2"/>
      <c r="C495" s="2"/>
      <c r="D495" s="2"/>
    </row>
    <row r="496" spans="2:4" x14ac:dyDescent="0.25">
      <c r="B496" s="2"/>
      <c r="C496" s="2"/>
      <c r="D496" s="2"/>
    </row>
    <row r="497" spans="2:4" x14ac:dyDescent="0.25">
      <c r="B497" s="2"/>
      <c r="C497" s="2"/>
      <c r="D497" s="2"/>
    </row>
    <row r="498" spans="2:4" x14ac:dyDescent="0.25">
      <c r="B498" s="2"/>
      <c r="C498" s="2"/>
      <c r="D498" s="2"/>
    </row>
    <row r="499" spans="2:4" x14ac:dyDescent="0.25">
      <c r="B499" s="2"/>
      <c r="C499" s="2"/>
      <c r="D499" s="2"/>
    </row>
    <row r="500" spans="2:4" x14ac:dyDescent="0.25">
      <c r="B500" s="2"/>
      <c r="C500" s="2"/>
      <c r="D500" s="2"/>
    </row>
    <row r="501" spans="2:4" x14ac:dyDescent="0.25">
      <c r="B501" s="2"/>
      <c r="C501" s="2"/>
      <c r="D501" s="2"/>
    </row>
    <row r="502" spans="2:4" x14ac:dyDescent="0.25">
      <c r="B502" s="2"/>
      <c r="C502" s="2"/>
      <c r="D502" s="2"/>
    </row>
    <row r="503" spans="2:4" x14ac:dyDescent="0.25">
      <c r="B503" s="2"/>
      <c r="C503" s="2"/>
      <c r="D503" s="2"/>
    </row>
    <row r="504" spans="2:4" x14ac:dyDescent="0.25">
      <c r="B504" s="2"/>
      <c r="C504" s="2"/>
      <c r="D504" s="2"/>
    </row>
    <row r="505" spans="2:4" x14ac:dyDescent="0.25">
      <c r="B505" s="2"/>
      <c r="C505" s="2"/>
      <c r="D505" s="2"/>
    </row>
    <row r="506" spans="2:4" x14ac:dyDescent="0.25">
      <c r="B506" s="2"/>
      <c r="C506" s="2"/>
      <c r="D506" s="2"/>
    </row>
    <row r="507" spans="2:4" x14ac:dyDescent="0.25">
      <c r="B507" s="2"/>
      <c r="C507" s="2"/>
      <c r="D507" s="2"/>
    </row>
    <row r="508" spans="2:4" x14ac:dyDescent="0.25">
      <c r="B508" s="2"/>
      <c r="C508" s="2"/>
      <c r="D508" s="2"/>
    </row>
    <row r="509" spans="2:4" x14ac:dyDescent="0.25">
      <c r="B509" s="2"/>
      <c r="C509" s="2"/>
      <c r="D509" s="2"/>
    </row>
    <row r="510" spans="2:4" x14ac:dyDescent="0.25">
      <c r="B510" s="2"/>
      <c r="C510" s="2"/>
      <c r="D510" s="2"/>
    </row>
    <row r="511" spans="2:4" x14ac:dyDescent="0.25">
      <c r="B511" s="2"/>
      <c r="C511" s="2"/>
      <c r="D511" s="2"/>
    </row>
    <row r="512" spans="2:4" x14ac:dyDescent="0.25">
      <c r="B512" s="2"/>
      <c r="C512" s="2"/>
      <c r="D512" s="2"/>
    </row>
    <row r="513" spans="2:4" x14ac:dyDescent="0.25">
      <c r="B513" s="2"/>
      <c r="C513" s="2"/>
      <c r="D513" s="2"/>
    </row>
    <row r="514" spans="2:4" x14ac:dyDescent="0.25">
      <c r="B514" s="2"/>
      <c r="C514" s="2"/>
      <c r="D514" s="2"/>
    </row>
    <row r="515" spans="2:4" x14ac:dyDescent="0.25">
      <c r="B515" s="2"/>
      <c r="C515" s="2"/>
      <c r="D515" s="2"/>
    </row>
    <row r="516" spans="2:4" x14ac:dyDescent="0.25">
      <c r="B516" s="2"/>
      <c r="C516" s="2"/>
      <c r="D516" s="2"/>
    </row>
    <row r="517" spans="2:4" x14ac:dyDescent="0.25">
      <c r="B517" s="2"/>
      <c r="C517" s="2"/>
      <c r="D517" s="2"/>
    </row>
    <row r="518" spans="2:4" x14ac:dyDescent="0.25">
      <c r="B518" s="2"/>
      <c r="C518" s="2"/>
      <c r="D518" s="2"/>
    </row>
    <row r="519" spans="2:4" x14ac:dyDescent="0.25">
      <c r="B519" s="2"/>
      <c r="C519" s="2"/>
      <c r="D519" s="2"/>
    </row>
    <row r="520" spans="2:4" x14ac:dyDescent="0.25">
      <c r="B520" s="2"/>
      <c r="C520" s="2"/>
      <c r="D520" s="2"/>
    </row>
    <row r="521" spans="2:4" x14ac:dyDescent="0.25">
      <c r="B521" s="2"/>
      <c r="C521" s="2"/>
      <c r="D521" s="2"/>
    </row>
    <row r="522" spans="2:4" x14ac:dyDescent="0.25">
      <c r="B522" s="2"/>
      <c r="C522" s="2"/>
      <c r="D522" s="2"/>
    </row>
    <row r="523" spans="2:4" x14ac:dyDescent="0.25">
      <c r="B523" s="2"/>
      <c r="C523" s="2"/>
      <c r="D523" s="2"/>
    </row>
    <row r="524" spans="2:4" x14ac:dyDescent="0.25">
      <c r="B524" s="2"/>
      <c r="C524" s="2"/>
      <c r="D524" s="2"/>
    </row>
    <row r="525" spans="2:4" x14ac:dyDescent="0.25">
      <c r="B525" s="2"/>
      <c r="C525" s="2"/>
      <c r="D525" s="2"/>
    </row>
    <row r="526" spans="2:4" x14ac:dyDescent="0.25">
      <c r="B526" s="2"/>
      <c r="C526" s="2"/>
      <c r="D526" s="2"/>
    </row>
    <row r="527" spans="2:4" x14ac:dyDescent="0.25">
      <c r="B527" s="2"/>
      <c r="C527" s="2"/>
      <c r="D527" s="2"/>
    </row>
    <row r="528" spans="2:4" x14ac:dyDescent="0.25">
      <c r="B528" s="2"/>
      <c r="C528" s="2"/>
      <c r="D528" s="2"/>
    </row>
    <row r="529" spans="2:4" x14ac:dyDescent="0.25">
      <c r="B529" s="2"/>
      <c r="C529" s="2"/>
      <c r="D529" s="2"/>
    </row>
    <row r="530" spans="2:4" x14ac:dyDescent="0.25">
      <c r="B530" s="2"/>
      <c r="C530" s="2"/>
      <c r="D530" s="2"/>
    </row>
    <row r="531" spans="2:4" x14ac:dyDescent="0.25">
      <c r="B531" s="2"/>
      <c r="C531" s="2"/>
      <c r="D531" s="2"/>
    </row>
    <row r="532" spans="2:4" x14ac:dyDescent="0.25">
      <c r="B532" s="2"/>
      <c r="C532" s="2"/>
      <c r="D532" s="2"/>
    </row>
    <row r="533" spans="2:4" x14ac:dyDescent="0.25">
      <c r="B533" s="2"/>
      <c r="C533" s="2"/>
      <c r="D533" s="2"/>
    </row>
    <row r="534" spans="2:4" x14ac:dyDescent="0.25">
      <c r="B534" s="2"/>
      <c r="C534" s="2"/>
      <c r="D534" s="2"/>
    </row>
    <row r="535" spans="2:4" x14ac:dyDescent="0.25">
      <c r="B535" s="2"/>
      <c r="C535" s="2"/>
      <c r="D535" s="2"/>
    </row>
    <row r="536" spans="2:4" x14ac:dyDescent="0.25">
      <c r="B536" s="2"/>
      <c r="C536" s="2"/>
      <c r="D536" s="2"/>
    </row>
    <row r="537" spans="2:4" x14ac:dyDescent="0.25">
      <c r="B537" s="2"/>
      <c r="C537" s="2"/>
      <c r="D537" s="2"/>
    </row>
    <row r="538" spans="2:4" x14ac:dyDescent="0.25">
      <c r="B538" s="2"/>
      <c r="C538" s="2"/>
      <c r="D538" s="2"/>
    </row>
    <row r="539" spans="2:4" x14ac:dyDescent="0.25">
      <c r="B539" s="2"/>
      <c r="C539" s="2"/>
      <c r="D539" s="2"/>
    </row>
    <row r="540" spans="2:4" x14ac:dyDescent="0.25">
      <c r="B540" s="2"/>
      <c r="C540" s="2"/>
      <c r="D540" s="2"/>
    </row>
    <row r="541" spans="2:4" x14ac:dyDescent="0.25">
      <c r="B541" s="2"/>
      <c r="C541" s="2"/>
      <c r="D541" s="2"/>
    </row>
    <row r="542" spans="2:4" x14ac:dyDescent="0.25">
      <c r="B542" s="2"/>
      <c r="C542" s="2"/>
      <c r="D542" s="2"/>
    </row>
    <row r="543" spans="2:4" x14ac:dyDescent="0.25">
      <c r="B543" s="2"/>
      <c r="C543" s="2"/>
      <c r="D543" s="2"/>
    </row>
    <row r="544" spans="2:4" x14ac:dyDescent="0.25">
      <c r="B544" s="2"/>
      <c r="C544" s="2"/>
      <c r="D544" s="2"/>
    </row>
    <row r="545" spans="2:4" x14ac:dyDescent="0.25">
      <c r="B545" s="2"/>
      <c r="C545" s="2"/>
      <c r="D545" s="2"/>
    </row>
    <row r="546" spans="2:4" x14ac:dyDescent="0.25">
      <c r="B546" s="2"/>
      <c r="C546" s="2"/>
      <c r="D546" s="2"/>
    </row>
    <row r="547" spans="2:4" x14ac:dyDescent="0.25">
      <c r="B547" s="2"/>
      <c r="C547" s="2"/>
      <c r="D547" s="2"/>
    </row>
    <row r="548" spans="2:4" x14ac:dyDescent="0.25">
      <c r="B548" s="2"/>
      <c r="C548" s="2"/>
      <c r="D548" s="2"/>
    </row>
    <row r="549" spans="2:4" x14ac:dyDescent="0.25">
      <c r="B549" s="2"/>
      <c r="C549" s="2"/>
      <c r="D549" s="2"/>
    </row>
    <row r="550" spans="2:4" x14ac:dyDescent="0.25">
      <c r="B550" s="2"/>
      <c r="C550" s="2"/>
      <c r="D550" s="2"/>
    </row>
    <row r="551" spans="2:4" x14ac:dyDescent="0.25">
      <c r="B551" s="2"/>
      <c r="C551" s="2"/>
      <c r="D551" s="2"/>
    </row>
    <row r="552" spans="2:4" x14ac:dyDescent="0.25">
      <c r="B552" s="2"/>
      <c r="C552" s="2"/>
      <c r="D552" s="2"/>
    </row>
    <row r="553" spans="2:4" x14ac:dyDescent="0.25">
      <c r="B553" s="2"/>
      <c r="C553" s="2"/>
      <c r="D553" s="2"/>
    </row>
    <row r="554" spans="2:4" x14ac:dyDescent="0.25">
      <c r="B554" s="2"/>
      <c r="C554" s="2"/>
      <c r="D554" s="2"/>
    </row>
    <row r="555" spans="2:4" x14ac:dyDescent="0.25">
      <c r="B555" s="2"/>
      <c r="C555" s="2"/>
      <c r="D555" s="2"/>
    </row>
    <row r="556" spans="2:4" x14ac:dyDescent="0.25">
      <c r="B556" s="2"/>
      <c r="C556" s="2"/>
      <c r="D556" s="2"/>
    </row>
    <row r="557" spans="2:4" x14ac:dyDescent="0.25">
      <c r="B557" s="2"/>
      <c r="C557" s="2"/>
      <c r="D557" s="2"/>
    </row>
    <row r="558" spans="2:4" x14ac:dyDescent="0.25">
      <c r="B558" s="2"/>
      <c r="C558" s="2"/>
      <c r="D558" s="2"/>
    </row>
    <row r="559" spans="2:4" x14ac:dyDescent="0.25">
      <c r="B559" s="2"/>
      <c r="C559" s="2"/>
      <c r="D559" s="2"/>
    </row>
    <row r="560" spans="2:4" x14ac:dyDescent="0.25">
      <c r="B560" s="2"/>
      <c r="C560" s="2"/>
      <c r="D560" s="2"/>
    </row>
    <row r="561" spans="2:4" x14ac:dyDescent="0.25">
      <c r="B561" s="2"/>
      <c r="C561" s="2"/>
      <c r="D561" s="2"/>
    </row>
    <row r="562" spans="2:4" x14ac:dyDescent="0.25">
      <c r="B562" s="2"/>
      <c r="C562" s="2"/>
      <c r="D562" s="2"/>
    </row>
    <row r="563" spans="2:4" x14ac:dyDescent="0.25">
      <c r="B563" s="2"/>
      <c r="C563" s="2"/>
      <c r="D563" s="2"/>
    </row>
    <row r="564" spans="2:4" x14ac:dyDescent="0.25">
      <c r="B564" s="2"/>
      <c r="C564" s="2"/>
      <c r="D564" s="2"/>
    </row>
    <row r="565" spans="2:4" x14ac:dyDescent="0.25">
      <c r="B565" s="2"/>
      <c r="C565" s="2"/>
      <c r="D565" s="2"/>
    </row>
    <row r="566" spans="2:4" x14ac:dyDescent="0.25">
      <c r="B566" s="2"/>
      <c r="C566" s="2"/>
      <c r="D566" s="2"/>
    </row>
    <row r="567" spans="2:4" x14ac:dyDescent="0.25">
      <c r="B567" s="2"/>
      <c r="C567" s="2"/>
      <c r="D567" s="2"/>
    </row>
    <row r="568" spans="2:4" x14ac:dyDescent="0.25">
      <c r="B568" s="2"/>
      <c r="C568" s="2"/>
      <c r="D568" s="2"/>
    </row>
    <row r="569" spans="2:4" x14ac:dyDescent="0.25">
      <c r="B569" s="2"/>
      <c r="C569" s="2"/>
      <c r="D569" s="2"/>
    </row>
    <row r="570" spans="2:4" x14ac:dyDescent="0.25">
      <c r="B570" s="2"/>
      <c r="C570" s="2"/>
      <c r="D570" s="2"/>
    </row>
    <row r="571" spans="2:4" x14ac:dyDescent="0.25">
      <c r="B571" s="2"/>
      <c r="C571" s="2"/>
      <c r="D571" s="2"/>
    </row>
    <row r="572" spans="2:4" x14ac:dyDescent="0.25">
      <c r="B572" s="2"/>
      <c r="C572" s="2"/>
      <c r="D572" s="2"/>
    </row>
    <row r="573" spans="2:4" x14ac:dyDescent="0.25">
      <c r="B573" s="2"/>
      <c r="C573" s="2"/>
      <c r="D573" s="2"/>
    </row>
    <row r="574" spans="2:4" x14ac:dyDescent="0.25">
      <c r="B574" s="2"/>
      <c r="C574" s="2"/>
      <c r="D574" s="2"/>
    </row>
    <row r="575" spans="2:4" x14ac:dyDescent="0.25">
      <c r="B575" s="2"/>
      <c r="C575" s="2"/>
      <c r="D575" s="2"/>
    </row>
    <row r="576" spans="2:4" x14ac:dyDescent="0.25">
      <c r="B576" s="2"/>
      <c r="C576" s="2"/>
      <c r="D576" s="2"/>
    </row>
    <row r="577" spans="2:4" x14ac:dyDescent="0.25">
      <c r="B577" s="2"/>
      <c r="C577" s="2"/>
      <c r="D577" s="2"/>
    </row>
    <row r="578" spans="2:4" x14ac:dyDescent="0.25">
      <c r="B578" s="2"/>
      <c r="C578" s="2"/>
      <c r="D578" s="2"/>
    </row>
    <row r="579" spans="2:4" x14ac:dyDescent="0.25">
      <c r="B579" s="2"/>
      <c r="C579" s="2"/>
      <c r="D579" s="2"/>
    </row>
    <row r="580" spans="2:4" x14ac:dyDescent="0.25">
      <c r="B580" s="2"/>
      <c r="C580" s="2"/>
      <c r="D580" s="2"/>
    </row>
    <row r="581" spans="2:4" x14ac:dyDescent="0.25">
      <c r="B581" s="2"/>
      <c r="C581" s="2"/>
      <c r="D581" s="2"/>
    </row>
    <row r="582" spans="2:4" x14ac:dyDescent="0.25">
      <c r="B582" s="2"/>
      <c r="C582" s="2"/>
      <c r="D582" s="2"/>
    </row>
    <row r="583" spans="2:4" x14ac:dyDescent="0.25">
      <c r="B583" s="2"/>
      <c r="C583" s="2"/>
      <c r="D583" s="2"/>
    </row>
    <row r="584" spans="2:4" x14ac:dyDescent="0.25">
      <c r="B584" s="2"/>
      <c r="C584" s="2"/>
      <c r="D584" s="2"/>
    </row>
    <row r="585" spans="2:4" x14ac:dyDescent="0.25">
      <c r="B585" s="2"/>
      <c r="C585" s="2"/>
      <c r="D585" s="2"/>
    </row>
    <row r="586" spans="2:4" x14ac:dyDescent="0.25">
      <c r="B586" s="2"/>
      <c r="C586" s="2"/>
      <c r="D586" s="2"/>
    </row>
    <row r="587" spans="2:4" x14ac:dyDescent="0.25">
      <c r="B587" s="2"/>
      <c r="C587" s="2"/>
      <c r="D587" s="2"/>
    </row>
    <row r="588" spans="2:4" x14ac:dyDescent="0.25">
      <c r="B588" s="2"/>
      <c r="C588" s="2"/>
      <c r="D588" s="2"/>
    </row>
    <row r="589" spans="2:4" x14ac:dyDescent="0.25">
      <c r="B589" s="2"/>
      <c r="C589" s="2"/>
      <c r="D589" s="2"/>
    </row>
    <row r="590" spans="2:4" x14ac:dyDescent="0.25">
      <c r="B590" s="2"/>
      <c r="C590" s="2"/>
      <c r="D590" s="2"/>
    </row>
    <row r="591" spans="2:4" x14ac:dyDescent="0.25">
      <c r="B591" s="2"/>
      <c r="C591" s="2"/>
      <c r="D591" s="2"/>
    </row>
    <row r="592" spans="2:4" x14ac:dyDescent="0.25">
      <c r="B592" s="2"/>
      <c r="C592" s="2"/>
      <c r="D592" s="2"/>
    </row>
    <row r="593" spans="2:4" x14ac:dyDescent="0.25">
      <c r="B593" s="2"/>
      <c r="C593" s="2"/>
      <c r="D593" s="2"/>
    </row>
    <row r="594" spans="2:4" x14ac:dyDescent="0.25">
      <c r="B594" s="2"/>
      <c r="C594" s="2"/>
      <c r="D594" s="2"/>
    </row>
    <row r="595" spans="2:4" x14ac:dyDescent="0.25">
      <c r="B595" s="2"/>
      <c r="C595" s="2"/>
      <c r="D595" s="2"/>
    </row>
    <row r="596" spans="2:4" x14ac:dyDescent="0.25">
      <c r="B596" s="2"/>
      <c r="C596" s="2"/>
      <c r="D596" s="2"/>
    </row>
    <row r="597" spans="2:4" x14ac:dyDescent="0.25">
      <c r="B597" s="2"/>
      <c r="C597" s="2"/>
      <c r="D597" s="2"/>
    </row>
    <row r="598" spans="2:4" x14ac:dyDescent="0.25">
      <c r="B598" s="2"/>
      <c r="C598" s="2"/>
      <c r="D598" s="2"/>
    </row>
    <row r="599" spans="2:4" x14ac:dyDescent="0.25">
      <c r="B599" s="2"/>
      <c r="C599" s="2"/>
      <c r="D599" s="2"/>
    </row>
    <row r="600" spans="2:4" x14ac:dyDescent="0.25">
      <c r="B600" s="2"/>
      <c r="C600" s="2"/>
      <c r="D600" s="2"/>
    </row>
    <row r="601" spans="2:4" x14ac:dyDescent="0.25">
      <c r="B601" s="2"/>
      <c r="C601" s="2"/>
      <c r="D601" s="2"/>
    </row>
    <row r="602" spans="2:4" x14ac:dyDescent="0.25">
      <c r="B602" s="2"/>
      <c r="C602" s="2"/>
      <c r="D602" s="2"/>
    </row>
    <row r="603" spans="2:4" x14ac:dyDescent="0.25">
      <c r="B603" s="2"/>
      <c r="C603" s="2"/>
      <c r="D603" s="2"/>
    </row>
    <row r="604" spans="2:4" x14ac:dyDescent="0.25">
      <c r="B604" s="2"/>
      <c r="C604" s="2"/>
      <c r="D604" s="2"/>
    </row>
    <row r="605" spans="2:4" x14ac:dyDescent="0.25">
      <c r="B605" s="2"/>
      <c r="C605" s="2"/>
      <c r="D605" s="2"/>
    </row>
    <row r="606" spans="2:4" x14ac:dyDescent="0.25">
      <c r="B606" s="2"/>
      <c r="C606" s="2"/>
      <c r="D606" s="2"/>
    </row>
    <row r="607" spans="2:4" x14ac:dyDescent="0.25">
      <c r="B607" s="2"/>
      <c r="C607" s="2"/>
      <c r="D607" s="2"/>
    </row>
    <row r="608" spans="2:4" x14ac:dyDescent="0.25">
      <c r="B608" s="2"/>
      <c r="C608" s="2"/>
      <c r="D608" s="2"/>
    </row>
    <row r="609" spans="2:4" x14ac:dyDescent="0.25">
      <c r="B609" s="2"/>
      <c r="C609" s="2"/>
      <c r="D609" s="2"/>
    </row>
    <row r="610" spans="2:4" x14ac:dyDescent="0.25">
      <c r="B610" s="2"/>
      <c r="C610" s="2"/>
      <c r="D610" s="2"/>
    </row>
    <row r="611" spans="2:4" x14ac:dyDescent="0.25">
      <c r="B611" s="2"/>
      <c r="C611" s="2"/>
      <c r="D611" s="2"/>
    </row>
    <row r="612" spans="2:4" x14ac:dyDescent="0.25">
      <c r="B612" s="2"/>
      <c r="C612" s="2"/>
      <c r="D612" s="2"/>
    </row>
    <row r="613" spans="2:4" x14ac:dyDescent="0.25">
      <c r="B613" s="2"/>
      <c r="C613" s="2"/>
      <c r="D613" s="2"/>
    </row>
    <row r="614" spans="2:4" x14ac:dyDescent="0.25">
      <c r="B614" s="2"/>
      <c r="C614" s="2"/>
      <c r="D614" s="2"/>
    </row>
    <row r="615" spans="2:4" x14ac:dyDescent="0.25">
      <c r="B615" s="2"/>
      <c r="C615" s="2"/>
      <c r="D615" s="2"/>
    </row>
    <row r="616" spans="2:4" x14ac:dyDescent="0.25">
      <c r="B616" s="2"/>
      <c r="C616" s="2"/>
      <c r="D616" s="2"/>
    </row>
    <row r="617" spans="2:4" x14ac:dyDescent="0.25">
      <c r="B617" s="2"/>
      <c r="C617" s="2"/>
      <c r="D617" s="2"/>
    </row>
    <row r="618" spans="2:4" x14ac:dyDescent="0.25">
      <c r="B618" s="2"/>
      <c r="C618" s="2"/>
      <c r="D618" s="2"/>
    </row>
    <row r="619" spans="2:4" x14ac:dyDescent="0.25">
      <c r="B619" s="2"/>
      <c r="C619" s="2"/>
      <c r="D619" s="2"/>
    </row>
    <row r="620" spans="2:4" x14ac:dyDescent="0.25">
      <c r="B620" s="2"/>
      <c r="C620" s="2"/>
      <c r="D620" s="2"/>
    </row>
    <row r="621" spans="2:4" x14ac:dyDescent="0.25">
      <c r="B621" s="2"/>
      <c r="C621" s="2"/>
      <c r="D621" s="2"/>
    </row>
    <row r="622" spans="2:4" x14ac:dyDescent="0.25">
      <c r="B622" s="2"/>
      <c r="C622" s="2"/>
      <c r="D622" s="2"/>
    </row>
    <row r="623" spans="2:4" x14ac:dyDescent="0.25">
      <c r="B623" s="2"/>
      <c r="C623" s="2"/>
      <c r="D623" s="2"/>
    </row>
    <row r="624" spans="2:4" x14ac:dyDescent="0.25">
      <c r="B624" s="2"/>
      <c r="C624" s="2"/>
      <c r="D624" s="2"/>
    </row>
    <row r="625" spans="2:4" x14ac:dyDescent="0.25">
      <c r="B625" s="2"/>
      <c r="C625" s="2"/>
      <c r="D625" s="2"/>
    </row>
    <row r="626" spans="2:4" x14ac:dyDescent="0.25">
      <c r="B626" s="2"/>
      <c r="C626" s="2"/>
      <c r="D626" s="2"/>
    </row>
    <row r="627" spans="2:4" x14ac:dyDescent="0.25">
      <c r="B627" s="2"/>
      <c r="C627" s="2"/>
      <c r="D627" s="2"/>
    </row>
    <row r="628" spans="2:4" x14ac:dyDescent="0.25">
      <c r="B628" s="2"/>
      <c r="C628" s="2"/>
      <c r="D628" s="2"/>
    </row>
    <row r="629" spans="2:4" x14ac:dyDescent="0.25">
      <c r="B629" s="2"/>
      <c r="C629" s="2"/>
      <c r="D629" s="2"/>
    </row>
    <row r="630" spans="2:4" x14ac:dyDescent="0.25">
      <c r="B630" s="2"/>
      <c r="C630" s="2"/>
      <c r="D630" s="2"/>
    </row>
    <row r="631" spans="2:4" x14ac:dyDescent="0.25">
      <c r="B631" s="2"/>
      <c r="C631" s="2"/>
      <c r="D631" s="2"/>
    </row>
    <row r="632" spans="2:4" x14ac:dyDescent="0.25">
      <c r="B632" s="2"/>
      <c r="C632" s="2"/>
      <c r="D632" s="2"/>
    </row>
    <row r="633" spans="2:4" x14ac:dyDescent="0.25">
      <c r="B633" s="2"/>
      <c r="C633" s="2"/>
      <c r="D633" s="2"/>
    </row>
    <row r="634" spans="2:4" x14ac:dyDescent="0.25">
      <c r="B634" s="2"/>
      <c r="C634" s="2"/>
      <c r="D634" s="2"/>
    </row>
    <row r="635" spans="2:4" x14ac:dyDescent="0.25">
      <c r="B635" s="2"/>
      <c r="C635" s="2"/>
      <c r="D635" s="2"/>
    </row>
    <row r="636" spans="2:4" x14ac:dyDescent="0.25">
      <c r="B636" s="2"/>
      <c r="C636" s="2"/>
      <c r="D636" s="2"/>
    </row>
    <row r="637" spans="2:4" x14ac:dyDescent="0.25">
      <c r="B637" s="2"/>
      <c r="C637" s="2"/>
      <c r="D637" s="2"/>
    </row>
    <row r="638" spans="2:4" x14ac:dyDescent="0.25">
      <c r="B638" s="2"/>
      <c r="C638" s="2"/>
      <c r="D638" s="2"/>
    </row>
    <row r="639" spans="2:4" x14ac:dyDescent="0.25">
      <c r="B639" s="2"/>
      <c r="C639" s="2"/>
      <c r="D639" s="2"/>
    </row>
    <row r="640" spans="2:4" x14ac:dyDescent="0.25">
      <c r="B640" s="2"/>
      <c r="C640" s="2"/>
      <c r="D640" s="2"/>
    </row>
    <row r="641" spans="2:4" x14ac:dyDescent="0.25">
      <c r="B641" s="2"/>
      <c r="C641" s="2"/>
      <c r="D641" s="2"/>
    </row>
    <row r="642" spans="2:4" x14ac:dyDescent="0.25">
      <c r="B642" s="2"/>
      <c r="C642" s="2"/>
      <c r="D642" s="2"/>
    </row>
    <row r="643" spans="2:4" x14ac:dyDescent="0.25">
      <c r="B643" s="2"/>
      <c r="C643" s="2"/>
      <c r="D643" s="2"/>
    </row>
    <row r="644" spans="2:4" x14ac:dyDescent="0.25">
      <c r="B644" s="2"/>
      <c r="C644" s="2"/>
      <c r="D644" s="2"/>
    </row>
    <row r="645" spans="2:4" x14ac:dyDescent="0.25">
      <c r="B645" s="2"/>
      <c r="C645" s="2"/>
      <c r="D645" s="2"/>
    </row>
    <row r="646" spans="2:4" x14ac:dyDescent="0.25">
      <c r="B646" s="2"/>
      <c r="C646" s="2"/>
      <c r="D646" s="2"/>
    </row>
    <row r="647" spans="2:4" x14ac:dyDescent="0.25">
      <c r="B647" s="2"/>
      <c r="C647" s="2"/>
      <c r="D647" s="2"/>
    </row>
    <row r="648" spans="2:4" x14ac:dyDescent="0.25">
      <c r="B648" s="2"/>
      <c r="C648" s="2"/>
      <c r="D648" s="2"/>
    </row>
    <row r="649" spans="2:4" x14ac:dyDescent="0.25">
      <c r="B649" s="2"/>
      <c r="C649" s="2"/>
      <c r="D649" s="2"/>
    </row>
    <row r="650" spans="2:4" x14ac:dyDescent="0.25">
      <c r="B650" s="2"/>
      <c r="C650" s="2"/>
      <c r="D650" s="2"/>
    </row>
    <row r="651" spans="2:4" x14ac:dyDescent="0.25">
      <c r="B651" s="2"/>
      <c r="C651" s="2"/>
      <c r="D651" s="2"/>
    </row>
    <row r="652" spans="2:4" x14ac:dyDescent="0.25">
      <c r="B652" s="2"/>
      <c r="C652" s="2"/>
      <c r="D652" s="2"/>
    </row>
    <row r="653" spans="2:4" x14ac:dyDescent="0.25">
      <c r="B653" s="2"/>
      <c r="C653" s="2"/>
      <c r="D653" s="2"/>
    </row>
    <row r="654" spans="2:4" x14ac:dyDescent="0.25">
      <c r="B654" s="2"/>
      <c r="C654" s="2"/>
      <c r="D654" s="2"/>
    </row>
    <row r="655" spans="2:4" x14ac:dyDescent="0.25">
      <c r="B655" s="2"/>
      <c r="C655" s="2"/>
      <c r="D655" s="2"/>
    </row>
    <row r="656" spans="2:4" x14ac:dyDescent="0.25">
      <c r="C656" s="3"/>
      <c r="D656" s="2"/>
    </row>
    <row r="657" spans="2:4" x14ac:dyDescent="0.25">
      <c r="C657" s="3"/>
      <c r="D657" s="2"/>
    </row>
    <row r="658" spans="2:4" x14ac:dyDescent="0.25">
      <c r="C658" s="3"/>
      <c r="D658" s="2"/>
    </row>
    <row r="659" spans="2:4" x14ac:dyDescent="0.25">
      <c r="C659" s="3"/>
      <c r="D659" s="2"/>
    </row>
    <row r="660" spans="2:4" x14ac:dyDescent="0.25">
      <c r="C660" s="3"/>
      <c r="D660" s="2"/>
    </row>
    <row r="661" spans="2:4" x14ac:dyDescent="0.25">
      <c r="B661" s="4"/>
      <c r="C661" s="3"/>
      <c r="D661" s="2"/>
    </row>
    <row r="662" spans="2:4" x14ac:dyDescent="0.25">
      <c r="C662" s="3"/>
      <c r="D662" s="2"/>
    </row>
    <row r="663" spans="2:4" x14ac:dyDescent="0.25">
      <c r="C663" s="3"/>
      <c r="D663" s="2"/>
    </row>
    <row r="664" spans="2:4" x14ac:dyDescent="0.25">
      <c r="C664" s="3"/>
      <c r="D664" s="2"/>
    </row>
    <row r="665" spans="2:4" x14ac:dyDescent="0.25">
      <c r="B665"/>
      <c r="C665"/>
      <c r="D665" s="2"/>
    </row>
    <row r="666" spans="2:4" x14ac:dyDescent="0.25">
      <c r="C666" s="3"/>
      <c r="D666" s="2"/>
    </row>
    <row r="667" spans="2:4" x14ac:dyDescent="0.25">
      <c r="C667" s="3"/>
      <c r="D667" s="2"/>
    </row>
    <row r="668" spans="2:4" x14ac:dyDescent="0.25">
      <c r="C668" s="3"/>
      <c r="D668" s="2"/>
    </row>
    <row r="669" spans="2:4" x14ac:dyDescent="0.25">
      <c r="C669" s="3"/>
      <c r="D669" s="2"/>
    </row>
    <row r="670" spans="2:4" x14ac:dyDescent="0.25">
      <c r="C670" s="3"/>
      <c r="D670" s="2"/>
    </row>
    <row r="671" spans="2:4" x14ac:dyDescent="0.25">
      <c r="C671" s="3"/>
      <c r="D671" s="2"/>
    </row>
    <row r="672" spans="2:4" x14ac:dyDescent="0.25">
      <c r="C672" s="3"/>
      <c r="D672" s="2"/>
    </row>
    <row r="673" spans="3:4" x14ac:dyDescent="0.25">
      <c r="C673" s="3"/>
      <c r="D673" s="2"/>
    </row>
    <row r="674" spans="3:4" x14ac:dyDescent="0.25">
      <c r="C674" s="3"/>
      <c r="D674" s="2"/>
    </row>
    <row r="675" spans="3:4" x14ac:dyDescent="0.25">
      <c r="C675" s="3"/>
      <c r="D675" s="2"/>
    </row>
    <row r="676" spans="3:4" x14ac:dyDescent="0.25">
      <c r="C676" s="3"/>
      <c r="D676" s="2"/>
    </row>
    <row r="677" spans="3:4" x14ac:dyDescent="0.25">
      <c r="C677" s="3"/>
      <c r="D677" s="2"/>
    </row>
    <row r="678" spans="3:4" x14ac:dyDescent="0.25">
      <c r="C678" s="3"/>
      <c r="D678" s="2"/>
    </row>
    <row r="679" spans="3:4" x14ac:dyDescent="0.25">
      <c r="C679" s="3"/>
      <c r="D679" s="2"/>
    </row>
    <row r="680" spans="3:4" x14ac:dyDescent="0.25">
      <c r="C680" s="3"/>
      <c r="D680" s="2"/>
    </row>
    <row r="681" spans="3:4" x14ac:dyDescent="0.25">
      <c r="C681" s="3"/>
      <c r="D681" s="2"/>
    </row>
    <row r="682" spans="3:4" x14ac:dyDescent="0.25">
      <c r="C682" s="3"/>
      <c r="D682" s="2"/>
    </row>
    <row r="683" spans="3:4" x14ac:dyDescent="0.25">
      <c r="C683" s="3"/>
      <c r="D683" s="2"/>
    </row>
    <row r="684" spans="3:4" x14ac:dyDescent="0.25">
      <c r="C684" s="3"/>
      <c r="D684" s="2"/>
    </row>
    <row r="685" spans="3:4" x14ac:dyDescent="0.25">
      <c r="C685" s="3"/>
      <c r="D685" s="2"/>
    </row>
    <row r="686" spans="3:4" x14ac:dyDescent="0.25">
      <c r="C686" s="3"/>
      <c r="D686" s="2"/>
    </row>
    <row r="687" spans="3:4" x14ac:dyDescent="0.25">
      <c r="C687" s="3"/>
      <c r="D687" s="2"/>
    </row>
    <row r="688" spans="3:4" x14ac:dyDescent="0.25">
      <c r="C688" s="3"/>
      <c r="D688" s="2"/>
    </row>
    <row r="689" spans="3:4" x14ac:dyDescent="0.25">
      <c r="C689" s="3"/>
      <c r="D689" s="2"/>
    </row>
    <row r="690" spans="3:4" x14ac:dyDescent="0.25">
      <c r="C690" s="3"/>
      <c r="D690" s="2"/>
    </row>
    <row r="691" spans="3:4" x14ac:dyDescent="0.25">
      <c r="C691" s="3"/>
      <c r="D691" s="2"/>
    </row>
    <row r="692" spans="3:4" x14ac:dyDescent="0.25">
      <c r="C692" s="3"/>
      <c r="D692" s="2"/>
    </row>
    <row r="693" spans="3:4" x14ac:dyDescent="0.25">
      <c r="C693" s="3"/>
      <c r="D693" s="2"/>
    </row>
    <row r="694" spans="3:4" x14ac:dyDescent="0.25">
      <c r="C694" s="3"/>
      <c r="D694" s="2"/>
    </row>
    <row r="695" spans="3:4" x14ac:dyDescent="0.25">
      <c r="C695" s="3"/>
      <c r="D695" s="2"/>
    </row>
    <row r="696" spans="3:4" x14ac:dyDescent="0.25">
      <c r="C696" s="3"/>
      <c r="D696" s="2"/>
    </row>
    <row r="697" spans="3:4" x14ac:dyDescent="0.25">
      <c r="C697" s="3"/>
      <c r="D697" s="2"/>
    </row>
    <row r="698" spans="3:4" x14ac:dyDescent="0.25">
      <c r="C698" s="3"/>
      <c r="D698" s="2"/>
    </row>
    <row r="699" spans="3:4" x14ac:dyDescent="0.25">
      <c r="C699" s="3"/>
      <c r="D699" s="2"/>
    </row>
    <row r="700" spans="3:4" x14ac:dyDescent="0.25">
      <c r="C700" s="3"/>
      <c r="D700" s="2"/>
    </row>
    <row r="701" spans="3:4" x14ac:dyDescent="0.25">
      <c r="C701" s="3"/>
      <c r="D701" s="2"/>
    </row>
    <row r="702" spans="3:4" x14ac:dyDescent="0.25">
      <c r="C702" s="3"/>
      <c r="D702" s="2"/>
    </row>
    <row r="703" spans="3:4" x14ac:dyDescent="0.25">
      <c r="C703" s="3"/>
      <c r="D703" s="2"/>
    </row>
    <row r="704" spans="3:4" x14ac:dyDescent="0.25">
      <c r="C704" s="3"/>
      <c r="D704" s="2"/>
    </row>
    <row r="705" spans="3:4" x14ac:dyDescent="0.25">
      <c r="C705" s="3"/>
      <c r="D705" s="2"/>
    </row>
    <row r="706" spans="3:4" x14ac:dyDescent="0.25">
      <c r="C706" s="3"/>
      <c r="D706" s="2"/>
    </row>
    <row r="707" spans="3:4" x14ac:dyDescent="0.25">
      <c r="C707" s="3"/>
      <c r="D707" s="2"/>
    </row>
    <row r="708" spans="3:4" x14ac:dyDescent="0.25">
      <c r="C708" s="3"/>
      <c r="D708" s="2"/>
    </row>
    <row r="709" spans="3:4" x14ac:dyDescent="0.25">
      <c r="C709" s="3"/>
      <c r="D709" s="2"/>
    </row>
    <row r="710" spans="3:4" x14ac:dyDescent="0.25">
      <c r="C710" s="3"/>
      <c r="D710" s="2"/>
    </row>
    <row r="711" spans="3:4" x14ac:dyDescent="0.25">
      <c r="C711" s="3"/>
      <c r="D711" s="2"/>
    </row>
    <row r="712" spans="3:4" x14ac:dyDescent="0.25">
      <c r="C712" s="3"/>
      <c r="D712" s="2"/>
    </row>
    <row r="713" spans="3:4" x14ac:dyDescent="0.25">
      <c r="C713" s="3"/>
      <c r="D713" s="2"/>
    </row>
    <row r="714" spans="3:4" x14ac:dyDescent="0.25">
      <c r="C714" s="3"/>
      <c r="D714" s="2"/>
    </row>
    <row r="715" spans="3:4" x14ac:dyDescent="0.25">
      <c r="C715" s="3"/>
      <c r="D715" s="2"/>
    </row>
    <row r="716" spans="3:4" x14ac:dyDescent="0.25">
      <c r="C716" s="3"/>
      <c r="D716" s="2"/>
    </row>
    <row r="717" spans="3:4" x14ac:dyDescent="0.25">
      <c r="C717" s="3"/>
      <c r="D717" s="2"/>
    </row>
    <row r="718" spans="3:4" x14ac:dyDescent="0.25">
      <c r="C718" s="3"/>
      <c r="D718" s="2"/>
    </row>
    <row r="719" spans="3:4" x14ac:dyDescent="0.25">
      <c r="C719" s="3"/>
      <c r="D719" s="2"/>
    </row>
    <row r="720" spans="3:4" x14ac:dyDescent="0.25">
      <c r="C720" s="3"/>
      <c r="D720" s="2"/>
    </row>
    <row r="721" spans="3:4" x14ac:dyDescent="0.25">
      <c r="C721" s="3"/>
      <c r="D721" s="2"/>
    </row>
    <row r="722" spans="3:4" x14ac:dyDescent="0.25">
      <c r="C722" s="3"/>
      <c r="D722" s="2"/>
    </row>
    <row r="723" spans="3:4" x14ac:dyDescent="0.25">
      <c r="C723" s="3"/>
      <c r="D723" s="2"/>
    </row>
    <row r="724" spans="3:4" x14ac:dyDescent="0.25">
      <c r="C724" s="3"/>
      <c r="D724" s="2"/>
    </row>
    <row r="725" spans="3:4" x14ac:dyDescent="0.25">
      <c r="C725" s="3"/>
      <c r="D725" s="2"/>
    </row>
    <row r="726" spans="3:4" x14ac:dyDescent="0.25">
      <c r="C726" s="3"/>
      <c r="D726" s="2"/>
    </row>
    <row r="727" spans="3:4" x14ac:dyDescent="0.25">
      <c r="C727" s="3"/>
      <c r="D727" s="2"/>
    </row>
    <row r="728" spans="3:4" x14ac:dyDescent="0.25">
      <c r="C728" s="3"/>
      <c r="D728" s="2"/>
    </row>
    <row r="729" spans="3:4" x14ac:dyDescent="0.25">
      <c r="C729" s="3"/>
      <c r="D729" s="2"/>
    </row>
    <row r="730" spans="3:4" x14ac:dyDescent="0.25">
      <c r="C730" s="3"/>
      <c r="D730" s="2"/>
    </row>
    <row r="731" spans="3:4" x14ac:dyDescent="0.25">
      <c r="C731" s="3"/>
      <c r="D731" s="2"/>
    </row>
    <row r="732" spans="3:4" x14ac:dyDescent="0.25">
      <c r="C732" s="3"/>
      <c r="D732" s="2"/>
    </row>
    <row r="733" spans="3:4" x14ac:dyDescent="0.25">
      <c r="C733" s="3"/>
      <c r="D733" s="2"/>
    </row>
    <row r="734" spans="3:4" x14ac:dyDescent="0.25">
      <c r="C734" s="3"/>
      <c r="D734" s="2"/>
    </row>
    <row r="735" spans="3:4" x14ac:dyDescent="0.25">
      <c r="C735" s="3"/>
      <c r="D735" s="2"/>
    </row>
    <row r="736" spans="3:4" x14ac:dyDescent="0.25">
      <c r="C736" s="3"/>
      <c r="D736" s="2"/>
    </row>
    <row r="737" spans="3:4" x14ac:dyDescent="0.25">
      <c r="C737" s="3"/>
      <c r="D737" s="2"/>
    </row>
    <row r="738" spans="3:4" x14ac:dyDescent="0.25">
      <c r="C738" s="3"/>
      <c r="D738" s="2"/>
    </row>
    <row r="739" spans="3:4" x14ac:dyDescent="0.25">
      <c r="C739" s="3"/>
      <c r="D739" s="2"/>
    </row>
    <row r="740" spans="3:4" x14ac:dyDescent="0.25">
      <c r="C740" s="3"/>
      <c r="D740" s="2"/>
    </row>
    <row r="741" spans="3:4" x14ac:dyDescent="0.25">
      <c r="C741" s="3"/>
      <c r="D741" s="2"/>
    </row>
    <row r="742" spans="3:4" x14ac:dyDescent="0.25">
      <c r="C742" s="3"/>
      <c r="D742" s="2"/>
    </row>
    <row r="743" spans="3:4" x14ac:dyDescent="0.25">
      <c r="C743" s="3"/>
      <c r="D743" s="2"/>
    </row>
    <row r="744" spans="3:4" x14ac:dyDescent="0.25">
      <c r="C744" s="3"/>
      <c r="D744" s="2"/>
    </row>
    <row r="745" spans="3:4" x14ac:dyDescent="0.25">
      <c r="C745" s="3"/>
      <c r="D745" s="2"/>
    </row>
    <row r="746" spans="3:4" x14ac:dyDescent="0.25">
      <c r="C746" s="3"/>
      <c r="D746" s="2"/>
    </row>
    <row r="747" spans="3:4" x14ac:dyDescent="0.25">
      <c r="C747" s="3"/>
      <c r="D747" s="2"/>
    </row>
    <row r="748" spans="3:4" x14ac:dyDescent="0.25">
      <c r="C748" s="3"/>
      <c r="D748" s="2"/>
    </row>
    <row r="749" spans="3:4" x14ac:dyDescent="0.25">
      <c r="C749" s="3"/>
      <c r="D749" s="2"/>
    </row>
    <row r="750" spans="3:4" x14ac:dyDescent="0.25">
      <c r="C750" s="3"/>
      <c r="D750" s="2"/>
    </row>
    <row r="751" spans="3:4" x14ac:dyDescent="0.25">
      <c r="C751" s="3"/>
      <c r="D751" s="2"/>
    </row>
    <row r="752" spans="3:4" x14ac:dyDescent="0.25">
      <c r="C752" s="3"/>
      <c r="D752" s="2"/>
    </row>
    <row r="753" spans="3:4" x14ac:dyDescent="0.25">
      <c r="C753" s="3"/>
      <c r="D753" s="2"/>
    </row>
    <row r="754" spans="3:4" x14ac:dyDescent="0.25">
      <c r="C754" s="3"/>
      <c r="D754" s="2"/>
    </row>
    <row r="755" spans="3:4" x14ac:dyDescent="0.25">
      <c r="C755" s="3"/>
      <c r="D755" s="2"/>
    </row>
    <row r="756" spans="3:4" x14ac:dyDescent="0.25">
      <c r="C756" s="3"/>
      <c r="D756" s="2"/>
    </row>
    <row r="757" spans="3:4" x14ac:dyDescent="0.25">
      <c r="C757" s="3"/>
      <c r="D757" s="2"/>
    </row>
    <row r="758" spans="3:4" x14ac:dyDescent="0.25">
      <c r="C758" s="3"/>
      <c r="D758" s="2"/>
    </row>
    <row r="759" spans="3:4" x14ac:dyDescent="0.25">
      <c r="C759" s="3"/>
      <c r="D759" s="2"/>
    </row>
    <row r="760" spans="3:4" x14ac:dyDescent="0.25">
      <c r="C760" s="3"/>
      <c r="D760" s="2"/>
    </row>
    <row r="761" spans="3:4" x14ac:dyDescent="0.25">
      <c r="C761" s="3"/>
      <c r="D761" s="2"/>
    </row>
    <row r="762" spans="3:4" x14ac:dyDescent="0.25">
      <c r="C762" s="3"/>
      <c r="D762" s="2"/>
    </row>
    <row r="763" spans="3:4" x14ac:dyDescent="0.25">
      <c r="C763" s="3"/>
      <c r="D763" s="2"/>
    </row>
    <row r="764" spans="3:4" x14ac:dyDescent="0.25">
      <c r="C764" s="3"/>
      <c r="D764" s="2"/>
    </row>
    <row r="765" spans="3:4" x14ac:dyDescent="0.25">
      <c r="C765" s="3"/>
      <c r="D765" s="2"/>
    </row>
    <row r="766" spans="3:4" x14ac:dyDescent="0.25">
      <c r="C766" s="3"/>
      <c r="D766" s="2"/>
    </row>
    <row r="767" spans="3:4" x14ac:dyDescent="0.25">
      <c r="C767" s="3"/>
      <c r="D767" s="2"/>
    </row>
    <row r="768" spans="3:4" x14ac:dyDescent="0.25">
      <c r="C768" s="3"/>
      <c r="D768" s="2"/>
    </row>
    <row r="769" spans="3:4" x14ac:dyDescent="0.25">
      <c r="C769" s="3"/>
      <c r="D769" s="2"/>
    </row>
    <row r="770" spans="3:4" x14ac:dyDescent="0.25">
      <c r="C770" s="3"/>
      <c r="D770" s="2"/>
    </row>
    <row r="771" spans="3:4" x14ac:dyDescent="0.25">
      <c r="C771" s="3"/>
      <c r="D771" s="2"/>
    </row>
    <row r="772" spans="3:4" x14ac:dyDescent="0.25">
      <c r="C772" s="3"/>
      <c r="D772" s="2"/>
    </row>
    <row r="773" spans="3:4" x14ac:dyDescent="0.25">
      <c r="C773" s="3"/>
      <c r="D773" s="2"/>
    </row>
    <row r="774" spans="3:4" x14ac:dyDescent="0.25">
      <c r="C774" s="3"/>
      <c r="D774" s="2"/>
    </row>
    <row r="775" spans="3:4" x14ac:dyDescent="0.25">
      <c r="C775" s="3"/>
      <c r="D775" s="2"/>
    </row>
    <row r="776" spans="3:4" x14ac:dyDescent="0.25">
      <c r="C776" s="3"/>
      <c r="D776" s="2"/>
    </row>
    <row r="777" spans="3:4" x14ac:dyDescent="0.25">
      <c r="C777" s="3"/>
      <c r="D777" s="2"/>
    </row>
    <row r="778" spans="3:4" x14ac:dyDescent="0.25">
      <c r="C778" s="3"/>
      <c r="D778" s="2"/>
    </row>
    <row r="779" spans="3:4" x14ac:dyDescent="0.25">
      <c r="C779" s="3"/>
      <c r="D779" s="2"/>
    </row>
    <row r="780" spans="3:4" x14ac:dyDescent="0.25">
      <c r="C780" s="3"/>
      <c r="D780" s="2"/>
    </row>
    <row r="781" spans="3:4" x14ac:dyDescent="0.25">
      <c r="C781" s="3"/>
      <c r="D781" s="2"/>
    </row>
    <row r="782" spans="3:4" x14ac:dyDescent="0.25">
      <c r="C782" s="3"/>
      <c r="D782" s="2"/>
    </row>
    <row r="783" spans="3:4" x14ac:dyDescent="0.25">
      <c r="C783" s="3"/>
      <c r="D783" s="2"/>
    </row>
    <row r="784" spans="3:4" x14ac:dyDescent="0.25">
      <c r="C784" s="3"/>
      <c r="D784" s="2"/>
    </row>
    <row r="785" spans="3:4" x14ac:dyDescent="0.25">
      <c r="C785" s="3"/>
      <c r="D785" s="2"/>
    </row>
    <row r="786" spans="3:4" x14ac:dyDescent="0.25">
      <c r="C786" s="3"/>
      <c r="D786" s="2"/>
    </row>
    <row r="787" spans="3:4" x14ac:dyDescent="0.25">
      <c r="C787" s="3"/>
      <c r="D787" s="2"/>
    </row>
    <row r="788" spans="3:4" x14ac:dyDescent="0.25">
      <c r="C788" s="3"/>
      <c r="D788" s="2"/>
    </row>
    <row r="789" spans="3:4" x14ac:dyDescent="0.25">
      <c r="C789" s="3"/>
      <c r="D789" s="2"/>
    </row>
    <row r="790" spans="3:4" x14ac:dyDescent="0.25">
      <c r="C790" s="3"/>
      <c r="D790" s="2"/>
    </row>
    <row r="791" spans="3:4" x14ac:dyDescent="0.25">
      <c r="C791" s="3"/>
      <c r="D791" s="2"/>
    </row>
    <row r="792" spans="3:4" x14ac:dyDescent="0.25">
      <c r="C792" s="3"/>
      <c r="D792" s="2"/>
    </row>
    <row r="793" spans="3:4" x14ac:dyDescent="0.25">
      <c r="C793" s="3"/>
      <c r="D793" s="2"/>
    </row>
    <row r="794" spans="3:4" x14ac:dyDescent="0.25">
      <c r="C794" s="3"/>
      <c r="D794" s="2"/>
    </row>
    <row r="795" spans="3:4" x14ac:dyDescent="0.25">
      <c r="C795" s="3"/>
      <c r="D795" s="2"/>
    </row>
    <row r="796" spans="3:4" x14ac:dyDescent="0.25">
      <c r="C796" s="3"/>
      <c r="D796" s="2"/>
    </row>
    <row r="797" spans="3:4" x14ac:dyDescent="0.25">
      <c r="C797" s="3"/>
      <c r="D797" s="2"/>
    </row>
    <row r="798" spans="3:4" x14ac:dyDescent="0.25">
      <c r="C798" s="3"/>
      <c r="D798" s="2"/>
    </row>
    <row r="799" spans="3:4" x14ac:dyDescent="0.25">
      <c r="C799" s="3"/>
      <c r="D799" s="2"/>
    </row>
    <row r="800" spans="3:4" x14ac:dyDescent="0.25">
      <c r="C800" s="3"/>
      <c r="D800" s="2"/>
    </row>
    <row r="801" spans="3:4" x14ac:dyDescent="0.25">
      <c r="C801" s="3"/>
      <c r="D801" s="2"/>
    </row>
    <row r="802" spans="3:4" x14ac:dyDescent="0.25">
      <c r="C802" s="3"/>
      <c r="D802" s="2"/>
    </row>
    <row r="803" spans="3:4" x14ac:dyDescent="0.25">
      <c r="C803" s="3"/>
      <c r="D803" s="2"/>
    </row>
    <row r="804" spans="3:4" x14ac:dyDescent="0.25">
      <c r="C804" s="3"/>
      <c r="D804" s="2"/>
    </row>
    <row r="805" spans="3:4" x14ac:dyDescent="0.25">
      <c r="C805" s="3"/>
      <c r="D805" s="2"/>
    </row>
    <row r="806" spans="3:4" x14ac:dyDescent="0.25">
      <c r="C806" s="3"/>
      <c r="D806" s="2"/>
    </row>
    <row r="807" spans="3:4" x14ac:dyDescent="0.25">
      <c r="C807" s="3"/>
      <c r="D807" s="2"/>
    </row>
    <row r="808" spans="3:4" x14ac:dyDescent="0.25">
      <c r="C808" s="3"/>
      <c r="D808" s="2"/>
    </row>
    <row r="809" spans="3:4" x14ac:dyDescent="0.25">
      <c r="C809" s="3"/>
      <c r="D809" s="2"/>
    </row>
    <row r="810" spans="3:4" x14ac:dyDescent="0.25">
      <c r="C810" s="3"/>
      <c r="D810" s="2"/>
    </row>
    <row r="811" spans="3:4" x14ac:dyDescent="0.25">
      <c r="C811" s="3"/>
      <c r="D811" s="2"/>
    </row>
    <row r="812" spans="3:4" x14ac:dyDescent="0.25">
      <c r="C812" s="3"/>
      <c r="D812" s="2"/>
    </row>
    <row r="813" spans="3:4" x14ac:dyDescent="0.25">
      <c r="C813" s="3"/>
      <c r="D813" s="2"/>
    </row>
    <row r="814" spans="3:4" x14ac:dyDescent="0.25">
      <c r="C814" s="3"/>
      <c r="D814" s="2"/>
    </row>
    <row r="815" spans="3:4" x14ac:dyDescent="0.25">
      <c r="C815" s="3"/>
      <c r="D815" s="2"/>
    </row>
    <row r="816" spans="3:4" x14ac:dyDescent="0.25">
      <c r="C816" s="3"/>
      <c r="D816" s="2"/>
    </row>
    <row r="817" spans="3:4" x14ac:dyDescent="0.25">
      <c r="C817" s="3"/>
      <c r="D817" s="2"/>
    </row>
    <row r="818" spans="3:4" x14ac:dyDescent="0.25">
      <c r="C818" s="3"/>
      <c r="D818" s="2"/>
    </row>
    <row r="819" spans="3:4" x14ac:dyDescent="0.25">
      <c r="C819" s="3"/>
      <c r="D819" s="2"/>
    </row>
    <row r="820" spans="3:4" x14ac:dyDescent="0.25">
      <c r="C820" s="3"/>
      <c r="D820" s="2"/>
    </row>
    <row r="821" spans="3:4" x14ac:dyDescent="0.25">
      <c r="C821" s="3"/>
      <c r="D821" s="2"/>
    </row>
    <row r="822" spans="3:4" x14ac:dyDescent="0.25">
      <c r="C822" s="3"/>
      <c r="D822" s="2"/>
    </row>
    <row r="823" spans="3:4" x14ac:dyDescent="0.25">
      <c r="C823" s="3"/>
      <c r="D823" s="2"/>
    </row>
    <row r="824" spans="3:4" x14ac:dyDescent="0.25">
      <c r="C824" s="3"/>
      <c r="D824" s="2"/>
    </row>
    <row r="825" spans="3:4" x14ac:dyDescent="0.25">
      <c r="C825" s="3"/>
      <c r="D825" s="2"/>
    </row>
    <row r="826" spans="3:4" x14ac:dyDescent="0.25">
      <c r="C826" s="3"/>
      <c r="D826" s="2"/>
    </row>
    <row r="827" spans="3:4" x14ac:dyDescent="0.25">
      <c r="C827" s="3"/>
      <c r="D827" s="2"/>
    </row>
    <row r="828" spans="3:4" x14ac:dyDescent="0.25">
      <c r="C828" s="3"/>
      <c r="D828" s="2"/>
    </row>
    <row r="829" spans="3:4" x14ac:dyDescent="0.25">
      <c r="C829" s="3"/>
      <c r="D829" s="2"/>
    </row>
    <row r="830" spans="3:4" x14ac:dyDescent="0.25">
      <c r="C830" s="3"/>
      <c r="D830" s="2"/>
    </row>
    <row r="831" spans="3:4" x14ac:dyDescent="0.25">
      <c r="C831" s="3"/>
      <c r="D831" s="2"/>
    </row>
    <row r="832" spans="3:4" x14ac:dyDescent="0.25">
      <c r="C832" s="3"/>
      <c r="D832" s="2"/>
    </row>
    <row r="833" spans="3:4" x14ac:dyDescent="0.25">
      <c r="C833" s="3"/>
      <c r="D833" s="2"/>
    </row>
    <row r="834" spans="3:4" x14ac:dyDescent="0.25">
      <c r="C834" s="3"/>
      <c r="D834" s="2"/>
    </row>
    <row r="835" spans="3:4" x14ac:dyDescent="0.25">
      <c r="C835" s="3"/>
      <c r="D835" s="2"/>
    </row>
    <row r="836" spans="3:4" x14ac:dyDescent="0.25">
      <c r="C836" s="3"/>
      <c r="D836" s="2"/>
    </row>
    <row r="837" spans="3:4" x14ac:dyDescent="0.25">
      <c r="C837" s="3"/>
      <c r="D837" s="2"/>
    </row>
    <row r="838" spans="3:4" x14ac:dyDescent="0.25">
      <c r="C838" s="3"/>
      <c r="D838" s="2"/>
    </row>
    <row r="839" spans="3:4" x14ac:dyDescent="0.25">
      <c r="C839" s="3"/>
      <c r="D839" s="2"/>
    </row>
    <row r="840" spans="3:4" x14ac:dyDescent="0.25">
      <c r="C840" s="3"/>
      <c r="D840" s="2"/>
    </row>
    <row r="841" spans="3:4" x14ac:dyDescent="0.25">
      <c r="C841" s="3"/>
      <c r="D841" s="2"/>
    </row>
    <row r="842" spans="3:4" x14ac:dyDescent="0.25">
      <c r="C842" s="3"/>
      <c r="D842" s="2"/>
    </row>
    <row r="843" spans="3:4" x14ac:dyDescent="0.25">
      <c r="C843" s="3"/>
      <c r="D843" s="2"/>
    </row>
    <row r="844" spans="3:4" x14ac:dyDescent="0.25">
      <c r="C844" s="3"/>
      <c r="D844" s="2"/>
    </row>
    <row r="845" spans="3:4" x14ac:dyDescent="0.25">
      <c r="C845" s="3"/>
      <c r="D845" s="2"/>
    </row>
    <row r="846" spans="3:4" x14ac:dyDescent="0.25">
      <c r="C846" s="3"/>
      <c r="D846" s="2"/>
    </row>
    <row r="847" spans="3:4" x14ac:dyDescent="0.25">
      <c r="C847" s="3"/>
      <c r="D847" s="2"/>
    </row>
    <row r="848" spans="3:4" x14ac:dyDescent="0.25">
      <c r="C848" s="3"/>
      <c r="D848" s="2"/>
    </row>
    <row r="849" spans="3:4" x14ac:dyDescent="0.25">
      <c r="C849" s="3"/>
      <c r="D849" s="2"/>
    </row>
    <row r="850" spans="3:4" x14ac:dyDescent="0.25">
      <c r="C850" s="3"/>
      <c r="D850" s="2"/>
    </row>
    <row r="851" spans="3:4" x14ac:dyDescent="0.25">
      <c r="C851" s="3"/>
      <c r="D851" s="2"/>
    </row>
    <row r="852" spans="3:4" x14ac:dyDescent="0.25">
      <c r="C852" s="3"/>
      <c r="D852" s="2"/>
    </row>
    <row r="853" spans="3:4" x14ac:dyDescent="0.25">
      <c r="C853" s="3"/>
      <c r="D853" s="2"/>
    </row>
    <row r="854" spans="3:4" x14ac:dyDescent="0.25">
      <c r="C854" s="3"/>
      <c r="D854" s="2"/>
    </row>
    <row r="855" spans="3:4" x14ac:dyDescent="0.25">
      <c r="C855" s="3"/>
      <c r="D855" s="2"/>
    </row>
    <row r="856" spans="3:4" x14ac:dyDescent="0.25">
      <c r="C856" s="3"/>
      <c r="D856" s="2"/>
    </row>
    <row r="857" spans="3:4" x14ac:dyDescent="0.25">
      <c r="C857" s="3"/>
      <c r="D857" s="2"/>
    </row>
    <row r="858" spans="3:4" x14ac:dyDescent="0.25">
      <c r="C858" s="3"/>
      <c r="D858" s="2"/>
    </row>
    <row r="859" spans="3:4" x14ac:dyDescent="0.25">
      <c r="C859" s="3"/>
      <c r="D859" s="2"/>
    </row>
    <row r="860" spans="3:4" x14ac:dyDescent="0.25">
      <c r="C860" s="3"/>
      <c r="D860" s="2"/>
    </row>
  </sheetData>
  <sortState xmlns:xlrd2="http://schemas.microsoft.com/office/spreadsheetml/2017/richdata2" ref="A2:L218">
    <sortCondition ref="A2:A218"/>
  </sortState>
  <mergeCells count="3">
    <mergeCell ref="B432:C432"/>
    <mergeCell ref="D432:E432"/>
    <mergeCell ref="H432:I4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Type_1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Alvi Ahmed Sarker</cp:lastModifiedBy>
  <dcterms:created xsi:type="dcterms:W3CDTF">2024-07-07T07:12:05Z</dcterms:created>
  <dcterms:modified xsi:type="dcterms:W3CDTF">2024-08-25T07:09:43Z</dcterms:modified>
</cp:coreProperties>
</file>